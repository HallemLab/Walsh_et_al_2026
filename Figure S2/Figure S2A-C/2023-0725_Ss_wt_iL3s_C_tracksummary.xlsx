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iL3s\wild-type\aggregate analysis\"/>
    </mc:Choice>
  </mc:AlternateContent>
  <xr:revisionPtr revIDLastSave="0" documentId="13_ncr:1_{39BF14D9-BB0A-448C-95C8-2E2495FE1358}" xr6:coauthVersionLast="36" xr6:coauthVersionMax="36" xr10:uidLastSave="{00000000-0000-0000-0000-000000000000}"/>
  <bookViews>
    <workbookView xWindow="0" yWindow="0" windowWidth="17925" windowHeight="8985" firstSheet="20" activeTab="27" xr2:uid="{5CBB5CF1-8F07-46F0-A5C3-AD5C59236ED4}"/>
  </bookViews>
  <sheets>
    <sheet name="220913C001.1" sheetId="2" r:id="rId1"/>
    <sheet name="220913C001.4" sheetId="3" r:id="rId2"/>
    <sheet name="220913C001.5" sheetId="4" r:id="rId3"/>
    <sheet name="220913C002.3" sheetId="5" r:id="rId4"/>
    <sheet name="220913C002.4" sheetId="6" r:id="rId5"/>
    <sheet name="220926C002.1" sheetId="7" r:id="rId6"/>
    <sheet name="220926C002.3" sheetId="8" r:id="rId7"/>
    <sheet name="220926C002.4" sheetId="9" r:id="rId8"/>
    <sheet name="220927C001.2" sheetId="10" r:id="rId9"/>
    <sheet name="220927C001.3" sheetId="11" r:id="rId10"/>
    <sheet name="220927C001.5" sheetId="12" r:id="rId11"/>
    <sheet name="230406C001.1" sheetId="13" r:id="rId12"/>
    <sheet name="230406C001.2" sheetId="14" r:id="rId13"/>
    <sheet name="230406C001.3" sheetId="15" r:id="rId14"/>
    <sheet name="230406C001.5" sheetId="16" r:id="rId15"/>
    <sheet name="220927C002.1" sheetId="17" r:id="rId16"/>
    <sheet name="220927C002.3" sheetId="18" r:id="rId17"/>
    <sheet name="220927C002.4" sheetId="19" r:id="rId18"/>
    <sheet name="220927C002.5" sheetId="20" r:id="rId19"/>
    <sheet name="230406C002.1" sheetId="21" r:id="rId20"/>
    <sheet name="230406C002.2" sheetId="22" r:id="rId21"/>
    <sheet name="230406C002.3" sheetId="23" r:id="rId22"/>
    <sheet name="230406C002.4" sheetId="24" r:id="rId23"/>
    <sheet name="230406C002.5" sheetId="25" r:id="rId24"/>
    <sheet name="230615C001.3" sheetId="26" r:id="rId25"/>
    <sheet name="230615C001.4" sheetId="27" r:id="rId26"/>
    <sheet name="230615C001.5" sheetId="28" r:id="rId27"/>
    <sheet name="230615C002.1" sheetId="29" r:id="rId28"/>
    <sheet name="template" sheetId="1" r:id="rId2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29" l="1"/>
  <c r="D35" i="29"/>
  <c r="G28" i="29"/>
  <c r="G31" i="29" s="1"/>
  <c r="F28" i="29"/>
  <c r="F31" i="29" s="1"/>
  <c r="E28" i="29"/>
  <c r="E31" i="29" s="1"/>
  <c r="D28" i="29"/>
  <c r="D31" i="29" s="1"/>
  <c r="C28" i="29"/>
  <c r="C31" i="29" s="1"/>
  <c r="B28" i="29"/>
  <c r="B30" i="29" s="1"/>
  <c r="E29" i="29" l="1"/>
  <c r="B31" i="29"/>
  <c r="B29" i="29"/>
  <c r="C29" i="29"/>
  <c r="D29" i="29"/>
  <c r="F29" i="29"/>
  <c r="G29" i="29"/>
  <c r="C30" i="29"/>
  <c r="D30" i="29"/>
  <c r="E30" i="29"/>
  <c r="F30" i="29"/>
  <c r="G30" i="29"/>
  <c r="F35" i="28"/>
  <c r="D35" i="28"/>
  <c r="G28" i="28"/>
  <c r="G30" i="28" s="1"/>
  <c r="F28" i="28"/>
  <c r="F31" i="28" s="1"/>
  <c r="E28" i="28"/>
  <c r="E31" i="28" s="1"/>
  <c r="D28" i="28"/>
  <c r="D31" i="28" s="1"/>
  <c r="C28" i="28"/>
  <c r="C31" i="28" s="1"/>
  <c r="B28" i="28"/>
  <c r="B31" i="28" s="1"/>
  <c r="F35" i="27"/>
  <c r="D35" i="27"/>
  <c r="B31" i="27"/>
  <c r="D30" i="27"/>
  <c r="C30" i="27"/>
  <c r="B30" i="27"/>
  <c r="D29" i="27"/>
  <c r="C29" i="27"/>
  <c r="B29" i="27"/>
  <c r="G28" i="27"/>
  <c r="G31" i="27" s="1"/>
  <c r="F28" i="27"/>
  <c r="F31" i="27" s="1"/>
  <c r="E28" i="27"/>
  <c r="E31" i="27" s="1"/>
  <c r="D28" i="27"/>
  <c r="D31" i="27" s="1"/>
  <c r="C28" i="27"/>
  <c r="C31" i="27" s="1"/>
  <c r="B28" i="27"/>
  <c r="F35" i="26"/>
  <c r="D35" i="26"/>
  <c r="B31" i="26"/>
  <c r="E30" i="26"/>
  <c r="B30" i="26"/>
  <c r="B29" i="26"/>
  <c r="G28" i="26"/>
  <c r="G31" i="26" s="1"/>
  <c r="F28" i="26"/>
  <c r="F31" i="26" s="1"/>
  <c r="E28" i="26"/>
  <c r="E31" i="26" s="1"/>
  <c r="D28" i="26"/>
  <c r="D31" i="26" s="1"/>
  <c r="C28" i="26"/>
  <c r="C31" i="26" s="1"/>
  <c r="B28" i="26"/>
  <c r="F35" i="25"/>
  <c r="D35" i="25"/>
  <c r="B31" i="25"/>
  <c r="E30" i="25"/>
  <c r="E29" i="25"/>
  <c r="G28" i="25"/>
  <c r="G31" i="25" s="1"/>
  <c r="F28" i="25"/>
  <c r="F31" i="25" s="1"/>
  <c r="E28" i="25"/>
  <c r="E31" i="25" s="1"/>
  <c r="D28" i="25"/>
  <c r="D29" i="25" s="1"/>
  <c r="C28" i="25"/>
  <c r="C29" i="25" s="1"/>
  <c r="B28" i="25"/>
  <c r="B29" i="25" s="1"/>
  <c r="F35" i="24"/>
  <c r="D35" i="24"/>
  <c r="D31" i="24"/>
  <c r="C31" i="24"/>
  <c r="E30" i="24"/>
  <c r="D30" i="24"/>
  <c r="C30" i="24"/>
  <c r="B30" i="24"/>
  <c r="E29" i="24"/>
  <c r="D29" i="24"/>
  <c r="C29" i="24"/>
  <c r="B29" i="24"/>
  <c r="G28" i="24"/>
  <c r="G29" i="24" s="1"/>
  <c r="F28" i="24"/>
  <c r="F31" i="24" s="1"/>
  <c r="E28" i="24"/>
  <c r="E31" i="24" s="1"/>
  <c r="D28" i="24"/>
  <c r="C28" i="24"/>
  <c r="B28" i="24"/>
  <c r="B31" i="24" s="1"/>
  <c r="F35" i="23"/>
  <c r="D35" i="23"/>
  <c r="C30" i="23"/>
  <c r="C29" i="23"/>
  <c r="G28" i="23"/>
  <c r="G31" i="23" s="1"/>
  <c r="F28" i="23"/>
  <c r="F31" i="23" s="1"/>
  <c r="E28" i="23"/>
  <c r="E31" i="23" s="1"/>
  <c r="D28" i="23"/>
  <c r="D29" i="23" s="1"/>
  <c r="C28" i="23"/>
  <c r="C31" i="23" s="1"/>
  <c r="B28" i="23"/>
  <c r="B31" i="23" s="1"/>
  <c r="F35" i="22"/>
  <c r="D35" i="22"/>
  <c r="D31" i="22"/>
  <c r="C31" i="22"/>
  <c r="B31" i="22"/>
  <c r="C30" i="22"/>
  <c r="B30" i="22"/>
  <c r="G28" i="22"/>
  <c r="G31" i="22" s="1"/>
  <c r="F28" i="22"/>
  <c r="F31" i="22" s="1"/>
  <c r="E28" i="22"/>
  <c r="E30" i="22" s="1"/>
  <c r="D28" i="22"/>
  <c r="D29" i="22" s="1"/>
  <c r="C28" i="22"/>
  <c r="C29" i="22" s="1"/>
  <c r="B28" i="22"/>
  <c r="B29" i="22" s="1"/>
  <c r="F35" i="21"/>
  <c r="D35" i="21"/>
  <c r="F31" i="21"/>
  <c r="E31" i="21"/>
  <c r="D31" i="21"/>
  <c r="C31" i="21"/>
  <c r="B31" i="21"/>
  <c r="F30" i="21"/>
  <c r="E30" i="21"/>
  <c r="D30" i="21"/>
  <c r="C30" i="21"/>
  <c r="B30" i="21"/>
  <c r="F29" i="21"/>
  <c r="E29" i="21"/>
  <c r="D29" i="21"/>
  <c r="C29" i="21"/>
  <c r="G28" i="21"/>
  <c r="G31" i="21" s="1"/>
  <c r="F28" i="21"/>
  <c r="E28" i="21"/>
  <c r="D28" i="21"/>
  <c r="C28" i="21"/>
  <c r="B28" i="21"/>
  <c r="B29" i="21" s="1"/>
  <c r="F35" i="20"/>
  <c r="D35" i="20"/>
  <c r="F31" i="20"/>
  <c r="E31" i="20"/>
  <c r="C31" i="20"/>
  <c r="B31" i="20"/>
  <c r="F30" i="20"/>
  <c r="E30" i="20"/>
  <c r="D30" i="20"/>
  <c r="C30" i="20"/>
  <c r="B30" i="20"/>
  <c r="F29" i="20"/>
  <c r="E29" i="20"/>
  <c r="D29" i="20"/>
  <c r="C29" i="20"/>
  <c r="G28" i="20"/>
  <c r="G31" i="20" s="1"/>
  <c r="F28" i="20"/>
  <c r="E28" i="20"/>
  <c r="D28" i="20"/>
  <c r="D31" i="20" s="1"/>
  <c r="C28" i="20"/>
  <c r="B28" i="20"/>
  <c r="B29" i="20" s="1"/>
  <c r="F35" i="19"/>
  <c r="D35" i="19"/>
  <c r="B31" i="19"/>
  <c r="G28" i="19"/>
  <c r="G31" i="19" s="1"/>
  <c r="F28" i="19"/>
  <c r="F31" i="19" s="1"/>
  <c r="E28" i="19"/>
  <c r="E31" i="19" s="1"/>
  <c r="D28" i="19"/>
  <c r="D31" i="19" s="1"/>
  <c r="C28" i="19"/>
  <c r="C29" i="19" s="1"/>
  <c r="B28" i="19"/>
  <c r="B29" i="19" s="1"/>
  <c r="F35" i="18"/>
  <c r="D35" i="18"/>
  <c r="F31" i="18"/>
  <c r="D31" i="18"/>
  <c r="G30" i="18"/>
  <c r="F30" i="18"/>
  <c r="E30" i="18"/>
  <c r="D30" i="18"/>
  <c r="C30" i="18"/>
  <c r="B30" i="18"/>
  <c r="G29" i="18"/>
  <c r="F29" i="18"/>
  <c r="E29" i="18"/>
  <c r="D29" i="18"/>
  <c r="C29" i="18"/>
  <c r="B29" i="18"/>
  <c r="G28" i="18"/>
  <c r="G31" i="18" s="1"/>
  <c r="F28" i="18"/>
  <c r="E28" i="18"/>
  <c r="E31" i="18" s="1"/>
  <c r="D28" i="18"/>
  <c r="C28" i="18"/>
  <c r="C31" i="18" s="1"/>
  <c r="B28" i="18"/>
  <c r="B31" i="18" s="1"/>
  <c r="F35" i="17"/>
  <c r="D35" i="17"/>
  <c r="G28" i="17"/>
  <c r="G31" i="17" s="1"/>
  <c r="F28" i="17"/>
  <c r="F31" i="17" s="1"/>
  <c r="E28" i="17"/>
  <c r="E31" i="17" s="1"/>
  <c r="D28" i="17"/>
  <c r="D31" i="17" s="1"/>
  <c r="C28" i="17"/>
  <c r="C31" i="17" s="1"/>
  <c r="B28" i="17"/>
  <c r="B31" i="17" s="1"/>
  <c r="D29" i="28" l="1"/>
  <c r="B30" i="28"/>
  <c r="B29" i="28"/>
  <c r="D30" i="28"/>
  <c r="C30" i="28"/>
  <c r="G31" i="28"/>
  <c r="C29" i="28"/>
  <c r="F29" i="28"/>
  <c r="G29" i="28"/>
  <c r="E30" i="28"/>
  <c r="F30" i="28"/>
  <c r="E29" i="28"/>
  <c r="F29" i="27"/>
  <c r="G29" i="27"/>
  <c r="E29" i="27"/>
  <c r="F30" i="27"/>
  <c r="G30" i="27"/>
  <c r="E30" i="27"/>
  <c r="F29" i="26"/>
  <c r="C29" i="26"/>
  <c r="E29" i="26"/>
  <c r="G29" i="26"/>
  <c r="D30" i="26"/>
  <c r="C30" i="26"/>
  <c r="F30" i="26"/>
  <c r="G30" i="26"/>
  <c r="D29" i="26"/>
  <c r="B30" i="25"/>
  <c r="D30" i="25"/>
  <c r="F30" i="25"/>
  <c r="G30" i="25"/>
  <c r="F29" i="25"/>
  <c r="D31" i="25"/>
  <c r="G29" i="25"/>
  <c r="C30" i="25"/>
  <c r="C31" i="25"/>
  <c r="F30" i="24"/>
  <c r="G30" i="24"/>
  <c r="F29" i="24"/>
  <c r="G31" i="24"/>
  <c r="B30" i="23"/>
  <c r="B29" i="23"/>
  <c r="F29" i="23"/>
  <c r="G29" i="23"/>
  <c r="D30" i="23"/>
  <c r="F30" i="23"/>
  <c r="E29" i="23"/>
  <c r="E30" i="23"/>
  <c r="G30" i="23"/>
  <c r="D31" i="23"/>
  <c r="D30" i="22"/>
  <c r="F30" i="22"/>
  <c r="G30" i="22"/>
  <c r="E29" i="22"/>
  <c r="G29" i="22"/>
  <c r="E31" i="22"/>
  <c r="F29" i="22"/>
  <c r="G29" i="21"/>
  <c r="G30" i="21"/>
  <c r="G29" i="20"/>
  <c r="G30" i="20"/>
  <c r="B30" i="19"/>
  <c r="D30" i="19"/>
  <c r="D29" i="19"/>
  <c r="C30" i="19"/>
  <c r="C31" i="19"/>
  <c r="E29" i="19"/>
  <c r="F29" i="19"/>
  <c r="E30" i="19"/>
  <c r="F30" i="19"/>
  <c r="G30" i="19"/>
  <c r="G29" i="19"/>
  <c r="B29" i="17"/>
  <c r="C29" i="17"/>
  <c r="D29" i="17"/>
  <c r="E29" i="17"/>
  <c r="F29" i="17"/>
  <c r="G29" i="17"/>
  <c r="B30" i="17"/>
  <c r="C30" i="17"/>
  <c r="D30" i="17"/>
  <c r="E30" i="17"/>
  <c r="F30" i="17"/>
  <c r="G30" i="17"/>
  <c r="F35" i="16"/>
  <c r="D35" i="16"/>
  <c r="G28" i="16"/>
  <c r="G30" i="16" s="1"/>
  <c r="F28" i="16"/>
  <c r="F30" i="16" s="1"/>
  <c r="E28" i="16"/>
  <c r="E31" i="16" s="1"/>
  <c r="D28" i="16"/>
  <c r="D31" i="16" s="1"/>
  <c r="C28" i="16"/>
  <c r="C30" i="16" s="1"/>
  <c r="B28" i="16"/>
  <c r="B31" i="16" s="1"/>
  <c r="F35" i="15"/>
  <c r="D35" i="15"/>
  <c r="G28" i="15"/>
  <c r="G30" i="15" s="1"/>
  <c r="F28" i="15"/>
  <c r="F31" i="15" s="1"/>
  <c r="E28" i="15"/>
  <c r="E31" i="15" s="1"/>
  <c r="D28" i="15"/>
  <c r="D31" i="15" s="1"/>
  <c r="C28" i="15"/>
  <c r="C30" i="15" s="1"/>
  <c r="B28" i="15"/>
  <c r="B30" i="15" s="1"/>
  <c r="F35" i="14"/>
  <c r="D35" i="14"/>
  <c r="G31" i="14"/>
  <c r="G28" i="14"/>
  <c r="G30" i="14" s="1"/>
  <c r="F28" i="14"/>
  <c r="F30" i="14" s="1"/>
  <c r="E28" i="14"/>
  <c r="E30" i="14" s="1"/>
  <c r="D28" i="14"/>
  <c r="D31" i="14" s="1"/>
  <c r="C28" i="14"/>
  <c r="C31" i="14" s="1"/>
  <c r="B28" i="14"/>
  <c r="B31" i="14" s="1"/>
  <c r="F35" i="13"/>
  <c r="D35" i="13"/>
  <c r="F31" i="13"/>
  <c r="E31" i="13"/>
  <c r="B31" i="13"/>
  <c r="B30" i="13"/>
  <c r="B29" i="13"/>
  <c r="G28" i="13"/>
  <c r="G31" i="13" s="1"/>
  <c r="F28" i="13"/>
  <c r="F29" i="13" s="1"/>
  <c r="E28" i="13"/>
  <c r="E30" i="13" s="1"/>
  <c r="D28" i="13"/>
  <c r="D31" i="13" s="1"/>
  <c r="C28" i="13"/>
  <c r="C31" i="13" s="1"/>
  <c r="B28" i="13"/>
  <c r="B30" i="16" l="1"/>
  <c r="B29" i="16"/>
  <c r="C31" i="16"/>
  <c r="C29" i="16"/>
  <c r="F31" i="16"/>
  <c r="G31" i="16"/>
  <c r="D29" i="16"/>
  <c r="E29" i="16"/>
  <c r="F29" i="16"/>
  <c r="G29" i="16"/>
  <c r="D30" i="16"/>
  <c r="E30" i="16"/>
  <c r="B31" i="15"/>
  <c r="B29" i="15"/>
  <c r="D30" i="15"/>
  <c r="D29" i="15"/>
  <c r="C31" i="15"/>
  <c r="C29" i="15"/>
  <c r="G31" i="15"/>
  <c r="E29" i="15"/>
  <c r="F29" i="15"/>
  <c r="G29" i="15"/>
  <c r="E30" i="15"/>
  <c r="F30" i="15"/>
  <c r="B29" i="14"/>
  <c r="B30" i="14"/>
  <c r="E31" i="14"/>
  <c r="F31" i="14"/>
  <c r="C29" i="14"/>
  <c r="D29" i="14"/>
  <c r="E29" i="14"/>
  <c r="F29" i="14"/>
  <c r="G29" i="14"/>
  <c r="C30" i="14"/>
  <c r="D30" i="14"/>
  <c r="C29" i="13"/>
  <c r="E29" i="13"/>
  <c r="G29" i="13"/>
  <c r="D30" i="13"/>
  <c r="F30" i="13"/>
  <c r="G30" i="13"/>
  <c r="D29" i="13"/>
  <c r="C30" i="13"/>
  <c r="F35" i="12"/>
  <c r="D35" i="12"/>
  <c r="B31" i="12"/>
  <c r="F30" i="12"/>
  <c r="E30" i="12"/>
  <c r="D30" i="12"/>
  <c r="B30" i="12"/>
  <c r="E29" i="12"/>
  <c r="D29" i="12"/>
  <c r="G28" i="12"/>
  <c r="G31" i="12" s="1"/>
  <c r="F28" i="12"/>
  <c r="F31" i="12" s="1"/>
  <c r="E28" i="12"/>
  <c r="E31" i="12" s="1"/>
  <c r="D28" i="12"/>
  <c r="D31" i="12" s="1"/>
  <c r="C28" i="12"/>
  <c r="C29" i="12" s="1"/>
  <c r="B28" i="12"/>
  <c r="B29" i="12" s="1"/>
  <c r="F35" i="11"/>
  <c r="D35" i="11"/>
  <c r="G28" i="11"/>
  <c r="G29" i="11" s="1"/>
  <c r="F28" i="11"/>
  <c r="F29" i="11" s="1"/>
  <c r="E28" i="11"/>
  <c r="E29" i="11" s="1"/>
  <c r="D28" i="11"/>
  <c r="D29" i="11" s="1"/>
  <c r="C28" i="11"/>
  <c r="C29" i="11" s="1"/>
  <c r="B28" i="11"/>
  <c r="B31" i="11" s="1"/>
  <c r="F35" i="10"/>
  <c r="D35" i="10"/>
  <c r="D30" i="10"/>
  <c r="B30" i="10"/>
  <c r="B29" i="10"/>
  <c r="G28" i="10"/>
  <c r="G31" i="10" s="1"/>
  <c r="F28" i="10"/>
  <c r="F31" i="10" s="1"/>
  <c r="E28" i="10"/>
  <c r="E31" i="10" s="1"/>
  <c r="D28" i="10"/>
  <c r="D31" i="10" s="1"/>
  <c r="C28" i="10"/>
  <c r="C31" i="10" s="1"/>
  <c r="B28" i="10"/>
  <c r="B31" i="10" s="1"/>
  <c r="F35" i="9"/>
  <c r="D35" i="9"/>
  <c r="C30" i="9"/>
  <c r="D29" i="9"/>
  <c r="G28" i="9"/>
  <c r="G30" i="9" s="1"/>
  <c r="F28" i="9"/>
  <c r="F31" i="9" s="1"/>
  <c r="E28" i="9"/>
  <c r="E31" i="9" s="1"/>
  <c r="D28" i="9"/>
  <c r="D31" i="9" s="1"/>
  <c r="C28" i="9"/>
  <c r="C29" i="9" s="1"/>
  <c r="B28" i="9"/>
  <c r="B31" i="9" s="1"/>
  <c r="F35" i="8"/>
  <c r="D35" i="8"/>
  <c r="D31" i="8"/>
  <c r="C31" i="8"/>
  <c r="D30" i="8"/>
  <c r="C30" i="8"/>
  <c r="D29" i="8"/>
  <c r="G28" i="8"/>
  <c r="G30" i="8" s="1"/>
  <c r="F28" i="8"/>
  <c r="F29" i="8" s="1"/>
  <c r="E28" i="8"/>
  <c r="E31" i="8" s="1"/>
  <c r="D28" i="8"/>
  <c r="C28" i="8"/>
  <c r="C29" i="8" s="1"/>
  <c r="B28" i="8"/>
  <c r="B29" i="8" s="1"/>
  <c r="F35" i="7"/>
  <c r="D35" i="7"/>
  <c r="G28" i="7"/>
  <c r="G31" i="7" s="1"/>
  <c r="F28" i="7"/>
  <c r="F31" i="7" s="1"/>
  <c r="E28" i="7"/>
  <c r="E31" i="7" s="1"/>
  <c r="D28" i="7"/>
  <c r="D31" i="7" s="1"/>
  <c r="C28" i="7"/>
  <c r="C29" i="7" s="1"/>
  <c r="B28" i="7"/>
  <c r="B30" i="7" s="1"/>
  <c r="F35" i="6"/>
  <c r="D35" i="6"/>
  <c r="G28" i="6"/>
  <c r="G30" i="6" s="1"/>
  <c r="F28" i="6"/>
  <c r="F31" i="6" s="1"/>
  <c r="E28" i="6"/>
  <c r="E31" i="6" s="1"/>
  <c r="D28" i="6"/>
  <c r="D29" i="6" s="1"/>
  <c r="C28" i="6"/>
  <c r="C31" i="6" s="1"/>
  <c r="B28" i="6"/>
  <c r="B31" i="6" s="1"/>
  <c r="D35" i="5"/>
  <c r="F35" i="5"/>
  <c r="E31" i="5"/>
  <c r="G28" i="5"/>
  <c r="G31" i="5" s="1"/>
  <c r="F28" i="5"/>
  <c r="F31" i="5" s="1"/>
  <c r="E28" i="5"/>
  <c r="E30" i="5" s="1"/>
  <c r="D28" i="5"/>
  <c r="D31" i="5" s="1"/>
  <c r="C28" i="5"/>
  <c r="C31" i="5" s="1"/>
  <c r="B28" i="5"/>
  <c r="B31" i="5" s="1"/>
  <c r="F35" i="4"/>
  <c r="D35" i="4"/>
  <c r="G28" i="4"/>
  <c r="G30" i="4" s="1"/>
  <c r="F28" i="4"/>
  <c r="F30" i="4" s="1"/>
  <c r="E28" i="4"/>
  <c r="E31" i="4" s="1"/>
  <c r="D28" i="4"/>
  <c r="D31" i="4" s="1"/>
  <c r="C28" i="4"/>
  <c r="C31" i="4" s="1"/>
  <c r="B28" i="4"/>
  <c r="B30" i="4" s="1"/>
  <c r="F35" i="3"/>
  <c r="D35" i="3"/>
  <c r="G28" i="3"/>
  <c r="G29" i="3" s="1"/>
  <c r="F28" i="3"/>
  <c r="F29" i="3" s="1"/>
  <c r="E28" i="3"/>
  <c r="E30" i="3" s="1"/>
  <c r="D28" i="3"/>
  <c r="D30" i="3" s="1"/>
  <c r="C28" i="3"/>
  <c r="C30" i="3" s="1"/>
  <c r="B28" i="3"/>
  <c r="B30" i="3" s="1"/>
  <c r="F35" i="2"/>
  <c r="D35" i="2"/>
  <c r="G28" i="2"/>
  <c r="G31" i="2" s="1"/>
  <c r="F28" i="2"/>
  <c r="F31" i="2" s="1"/>
  <c r="E28" i="2"/>
  <c r="E30" i="2" s="1"/>
  <c r="D28" i="2"/>
  <c r="D31" i="2" s="1"/>
  <c r="C28" i="2"/>
  <c r="C31" i="2" s="1"/>
  <c r="B28" i="2"/>
  <c r="B29" i="2" s="1"/>
  <c r="G30" i="12" l="1"/>
  <c r="F29" i="12"/>
  <c r="C30" i="12"/>
  <c r="C31" i="12"/>
  <c r="G29" i="12"/>
  <c r="E30" i="11"/>
  <c r="C31" i="11"/>
  <c r="F30" i="11"/>
  <c r="G30" i="11"/>
  <c r="F31" i="11"/>
  <c r="G31" i="11"/>
  <c r="D30" i="11"/>
  <c r="D31" i="11"/>
  <c r="C30" i="11"/>
  <c r="E31" i="11"/>
  <c r="B29" i="11"/>
  <c r="B30" i="11"/>
  <c r="C29" i="10"/>
  <c r="E29" i="10"/>
  <c r="F30" i="10"/>
  <c r="D29" i="10"/>
  <c r="F29" i="10"/>
  <c r="E30" i="10"/>
  <c r="G30" i="10"/>
  <c r="G29" i="10"/>
  <c r="C30" i="10"/>
  <c r="B29" i="9"/>
  <c r="B30" i="9"/>
  <c r="D30" i="9"/>
  <c r="C31" i="9"/>
  <c r="G31" i="9"/>
  <c r="E29" i="9"/>
  <c r="F29" i="9"/>
  <c r="G29" i="9"/>
  <c r="E30" i="9"/>
  <c r="F30" i="9"/>
  <c r="B30" i="8"/>
  <c r="B31" i="8"/>
  <c r="G29" i="8"/>
  <c r="G31" i="8"/>
  <c r="E29" i="8"/>
  <c r="E30" i="8"/>
  <c r="F30" i="8"/>
  <c r="F31" i="8"/>
  <c r="C30" i="7"/>
  <c r="B31" i="7"/>
  <c r="B29" i="7"/>
  <c r="D29" i="7"/>
  <c r="E29" i="7"/>
  <c r="D30" i="7"/>
  <c r="C31" i="7"/>
  <c r="E30" i="7"/>
  <c r="F29" i="7"/>
  <c r="G29" i="7"/>
  <c r="F30" i="7"/>
  <c r="G30" i="7"/>
  <c r="C29" i="6"/>
  <c r="B30" i="6"/>
  <c r="C30" i="6"/>
  <c r="D30" i="6"/>
  <c r="D31" i="6"/>
  <c r="B29" i="6"/>
  <c r="G31" i="6"/>
  <c r="E29" i="6"/>
  <c r="F29" i="6"/>
  <c r="G29" i="6"/>
  <c r="E30" i="6"/>
  <c r="F30" i="6"/>
  <c r="B30" i="5"/>
  <c r="C29" i="5"/>
  <c r="E29" i="5"/>
  <c r="C30" i="5"/>
  <c r="D30" i="5"/>
  <c r="B29" i="5"/>
  <c r="D29" i="5"/>
  <c r="F29" i="5"/>
  <c r="G29" i="5"/>
  <c r="F30" i="5"/>
  <c r="G30" i="5"/>
  <c r="C29" i="4"/>
  <c r="C30" i="4"/>
  <c r="B31" i="4"/>
  <c r="B29" i="4"/>
  <c r="F31" i="4"/>
  <c r="E29" i="4"/>
  <c r="G31" i="4"/>
  <c r="G29" i="4"/>
  <c r="D29" i="4"/>
  <c r="F29" i="4"/>
  <c r="D30" i="4"/>
  <c r="E30" i="4"/>
  <c r="B31" i="3"/>
  <c r="F30" i="3"/>
  <c r="G30" i="3"/>
  <c r="C31" i="3"/>
  <c r="D31" i="3"/>
  <c r="E31" i="3"/>
  <c r="F31" i="3"/>
  <c r="G31" i="3"/>
  <c r="B29" i="3"/>
  <c r="C29" i="3"/>
  <c r="D29" i="3"/>
  <c r="E29" i="3"/>
  <c r="B31" i="2"/>
  <c r="E31" i="2"/>
  <c r="D29" i="2"/>
  <c r="F29" i="2"/>
  <c r="E29" i="2"/>
  <c r="G29" i="2"/>
  <c r="C29" i="2"/>
  <c r="B30" i="2"/>
  <c r="C30" i="2"/>
  <c r="D30" i="2"/>
  <c r="F30" i="2"/>
  <c r="G30" i="2"/>
  <c r="F35" i="1"/>
  <c r="D35" i="1"/>
  <c r="G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F31" i="1" s="1"/>
  <c r="E28" i="1"/>
  <c r="E31" i="1" s="1"/>
  <c r="D28" i="1"/>
  <c r="C28" i="1"/>
  <c r="B28" i="1"/>
</calcChain>
</file>

<file path=xl/sharedStrings.xml><?xml version="1.0" encoding="utf-8"?>
<sst xmlns="http://schemas.openxmlformats.org/spreadsheetml/2006/main" count="1073" uniqueCount="37">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</sst>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3880-C6D0-458F-9CA7-774F83489968}">
  <dimension ref="A1:G35"/>
  <sheetViews>
    <sheetView topLeftCell="A7" workbookViewId="0">
      <selection activeCell="I20" sqref="I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253.74</v>
      </c>
      <c r="C2" s="1">
        <v>413.1</v>
      </c>
      <c r="D2" s="1">
        <v>406.33</v>
      </c>
      <c r="E2" s="1">
        <v>369.88</v>
      </c>
      <c r="F2" s="1">
        <v>399.9</v>
      </c>
      <c r="G2" s="1">
        <v>452.38</v>
      </c>
    </row>
    <row r="3" spans="1:7" x14ac:dyDescent="0.25">
      <c r="A3" s="1" t="s">
        <v>7</v>
      </c>
      <c r="B3" s="1">
        <v>32.94</v>
      </c>
      <c r="C3" s="1">
        <v>41.1</v>
      </c>
      <c r="D3" s="1">
        <v>37.39</v>
      </c>
      <c r="E3" s="1">
        <v>33.520000000000003</v>
      </c>
      <c r="F3" s="1">
        <v>40.880000000000003</v>
      </c>
      <c r="G3" s="1">
        <v>50.28</v>
      </c>
    </row>
    <row r="4" spans="1:7" x14ac:dyDescent="0.25">
      <c r="A4" s="1" t="s">
        <v>8</v>
      </c>
      <c r="B4" s="1">
        <v>8482.3799999999992</v>
      </c>
      <c r="C4" s="1">
        <v>17327.64</v>
      </c>
      <c r="D4" s="1">
        <v>15379.84</v>
      </c>
      <c r="E4" s="1">
        <v>12617.05</v>
      </c>
      <c r="F4" s="1">
        <v>16674.080000000002</v>
      </c>
      <c r="G4" s="1">
        <v>23152.14</v>
      </c>
    </row>
    <row r="5" spans="1:7" x14ac:dyDescent="0.25">
      <c r="A5" s="1" t="s">
        <v>9</v>
      </c>
      <c r="B5" s="1">
        <v>651.62</v>
      </c>
      <c r="C5" s="1">
        <v>769.16</v>
      </c>
      <c r="D5" s="1">
        <v>1300.6099999999999</v>
      </c>
      <c r="E5" s="1">
        <v>2043.16</v>
      </c>
      <c r="F5" s="1">
        <v>1756.95</v>
      </c>
      <c r="G5" s="1">
        <v>904.08</v>
      </c>
    </row>
    <row r="6" spans="1:7" x14ac:dyDescent="0.25">
      <c r="A6" s="3" t="s">
        <v>10</v>
      </c>
      <c r="B6" s="3">
        <v>65.16</v>
      </c>
      <c r="C6" s="3">
        <v>77.69</v>
      </c>
      <c r="D6" s="3">
        <v>131.37</v>
      </c>
      <c r="E6" s="3">
        <v>206.38</v>
      </c>
      <c r="F6" s="3">
        <v>177.47</v>
      </c>
      <c r="G6" s="3">
        <v>92.25</v>
      </c>
    </row>
    <row r="7" spans="1:7" x14ac:dyDescent="0.25">
      <c r="A7" s="1" t="s">
        <v>11</v>
      </c>
      <c r="B7" s="1">
        <v>597.70000000000005</v>
      </c>
      <c r="C7" s="1">
        <v>705.42</v>
      </c>
      <c r="D7" s="1">
        <v>1088.0899999999999</v>
      </c>
      <c r="E7" s="1">
        <v>1889.64</v>
      </c>
      <c r="F7" s="1">
        <v>1667.97</v>
      </c>
      <c r="G7" s="1">
        <v>844.24</v>
      </c>
    </row>
    <row r="8" spans="1:7" x14ac:dyDescent="0.25">
      <c r="A8" s="1" t="s">
        <v>12</v>
      </c>
      <c r="B8" s="1">
        <v>59.77</v>
      </c>
      <c r="C8" s="1">
        <v>71.25</v>
      </c>
      <c r="D8" s="1">
        <v>109.91</v>
      </c>
      <c r="E8" s="1">
        <v>190.87</v>
      </c>
      <c r="F8" s="1">
        <v>168.48</v>
      </c>
      <c r="G8" s="1">
        <v>86.15</v>
      </c>
    </row>
    <row r="9" spans="1:7" x14ac:dyDescent="0.25">
      <c r="A9" s="1" t="s">
        <v>13</v>
      </c>
      <c r="B9" s="1">
        <v>-423.41</v>
      </c>
      <c r="C9" s="1">
        <v>-443.1</v>
      </c>
      <c r="D9" s="1">
        <v>-858.81</v>
      </c>
      <c r="E9" s="1">
        <v>1889.64</v>
      </c>
      <c r="F9" s="1">
        <v>1661.06</v>
      </c>
      <c r="G9" s="1">
        <v>296.49</v>
      </c>
    </row>
    <row r="10" spans="1:7" x14ac:dyDescent="0.25">
      <c r="A10" s="1" t="s">
        <v>14</v>
      </c>
      <c r="B10" s="1">
        <v>-42.34</v>
      </c>
      <c r="C10" s="1">
        <v>-44.76</v>
      </c>
      <c r="D10" s="1">
        <v>-86.75</v>
      </c>
      <c r="E10" s="1">
        <v>190.87</v>
      </c>
      <c r="F10" s="1">
        <v>167.78</v>
      </c>
      <c r="G10" s="1">
        <v>30.25</v>
      </c>
    </row>
    <row r="11" spans="1:7" x14ac:dyDescent="0.25">
      <c r="A11" s="1" t="s">
        <v>15</v>
      </c>
      <c r="B11" s="1">
        <v>182.78</v>
      </c>
      <c r="C11" s="1">
        <v>296.89</v>
      </c>
      <c r="D11" s="1">
        <v>342.49</v>
      </c>
      <c r="E11" s="1">
        <v>1838.66</v>
      </c>
      <c r="F11" s="1">
        <v>1660.37</v>
      </c>
      <c r="G11" s="1">
        <v>23.57</v>
      </c>
    </row>
    <row r="12" spans="1:7" x14ac:dyDescent="0.25">
      <c r="A12" s="1" t="s">
        <v>16</v>
      </c>
      <c r="B12" s="1">
        <v>147.13</v>
      </c>
      <c r="C12" s="1">
        <v>220.14</v>
      </c>
      <c r="D12" s="1">
        <v>192.04</v>
      </c>
      <c r="E12" s="1">
        <v>212.59</v>
      </c>
      <c r="F12" s="1">
        <v>231.53</v>
      </c>
      <c r="G12" s="1">
        <v>201.57</v>
      </c>
    </row>
    <row r="13" spans="1:7" x14ac:dyDescent="0.25">
      <c r="A13" s="1" t="s">
        <v>17</v>
      </c>
      <c r="B13" s="1">
        <v>27.94</v>
      </c>
      <c r="C13" s="1">
        <v>27.54</v>
      </c>
      <c r="D13" s="1">
        <v>44.56</v>
      </c>
      <c r="E13" s="1">
        <v>20.86</v>
      </c>
      <c r="F13" s="1">
        <v>19.03</v>
      </c>
      <c r="G13" s="1">
        <v>55.85</v>
      </c>
    </row>
    <row r="14" spans="1:7" x14ac:dyDescent="0.25">
      <c r="A14" s="1" t="s">
        <v>18</v>
      </c>
      <c r="B14" s="1">
        <v>50.6</v>
      </c>
      <c r="C14" s="1">
        <v>70.16</v>
      </c>
      <c r="D14" s="1">
        <v>88.5</v>
      </c>
      <c r="E14" s="1">
        <v>46.81</v>
      </c>
      <c r="F14" s="1">
        <v>48.99</v>
      </c>
      <c r="G14" s="1">
        <v>85.51</v>
      </c>
    </row>
    <row r="15" spans="1:7" x14ac:dyDescent="0.25">
      <c r="A15" s="1" t="s">
        <v>19</v>
      </c>
      <c r="B15" s="1">
        <v>4</v>
      </c>
      <c r="C15" s="1">
        <v>4</v>
      </c>
      <c r="D15" s="1">
        <v>8</v>
      </c>
      <c r="E15" s="1">
        <v>8</v>
      </c>
      <c r="F15" s="1">
        <v>5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87.15</v>
      </c>
      <c r="C17" s="1">
        <v>131.16</v>
      </c>
      <c r="D17" s="1">
        <v>114.64</v>
      </c>
      <c r="E17" s="1">
        <v>1889.64</v>
      </c>
      <c r="F17" s="1">
        <v>1664.51</v>
      </c>
      <c r="G17" s="1">
        <v>570.37</v>
      </c>
    </row>
    <row r="18" spans="1:7" x14ac:dyDescent="0.25">
      <c r="A18" s="1" t="s">
        <v>22</v>
      </c>
      <c r="B18" s="1">
        <v>510.55</v>
      </c>
      <c r="C18" s="1">
        <v>574.26</v>
      </c>
      <c r="D18" s="1">
        <v>973.45</v>
      </c>
      <c r="E18" s="1">
        <v>0</v>
      </c>
      <c r="F18" s="1">
        <v>3.45</v>
      </c>
      <c r="G18" s="1">
        <v>273.88</v>
      </c>
    </row>
    <row r="19" spans="1:7" x14ac:dyDescent="0.25">
      <c r="A19" s="1" t="s">
        <v>23</v>
      </c>
      <c r="B19" s="1">
        <v>4</v>
      </c>
      <c r="C19" s="1">
        <v>3</v>
      </c>
      <c r="D19" s="1">
        <v>2</v>
      </c>
      <c r="E19" s="1">
        <v>0</v>
      </c>
      <c r="F19" s="1">
        <v>0</v>
      </c>
      <c r="G19" s="1">
        <v>2</v>
      </c>
    </row>
    <row r="20" spans="1:7" x14ac:dyDescent="0.25">
      <c r="A20" s="1" t="s">
        <v>24</v>
      </c>
      <c r="B20" s="1">
        <v>7.5</v>
      </c>
      <c r="C20" s="1">
        <v>5.6</v>
      </c>
      <c r="D20" s="1">
        <v>6.3</v>
      </c>
      <c r="E20" s="1">
        <v>0</v>
      </c>
      <c r="F20" s="1">
        <v>0</v>
      </c>
      <c r="G20" s="1">
        <v>3.2</v>
      </c>
    </row>
    <row r="21" spans="1:7" x14ac:dyDescent="0.25">
      <c r="A21" s="1" t="s">
        <v>25</v>
      </c>
      <c r="B21" s="1">
        <v>2.6</v>
      </c>
      <c r="C21" s="1">
        <v>4.4000000000000004</v>
      </c>
      <c r="D21" s="1">
        <v>3.7</v>
      </c>
      <c r="E21" s="1">
        <v>10</v>
      </c>
      <c r="F21" s="1">
        <v>10</v>
      </c>
      <c r="G21" s="1">
        <v>6.7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2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4.5</v>
      </c>
    </row>
    <row r="24" spans="1:7" x14ac:dyDescent="0.25">
      <c r="A24" s="1" t="s">
        <v>28</v>
      </c>
      <c r="B24" s="1">
        <v>4.7</v>
      </c>
      <c r="C24" s="1">
        <v>4.8</v>
      </c>
      <c r="D24" s="1">
        <v>8</v>
      </c>
      <c r="E24" s="1">
        <v>0</v>
      </c>
      <c r="F24" s="1">
        <v>0</v>
      </c>
      <c r="G24" s="1">
        <v>1.4</v>
      </c>
    </row>
    <row r="25" spans="1:7" x14ac:dyDescent="0.25">
      <c r="A25" s="1" t="s">
        <v>29</v>
      </c>
      <c r="B25" s="1">
        <v>5.4</v>
      </c>
      <c r="C25" s="1">
        <v>2.7</v>
      </c>
      <c r="D25" s="1">
        <v>0</v>
      </c>
      <c r="E25" s="1">
        <v>0</v>
      </c>
      <c r="F25" s="1">
        <v>0</v>
      </c>
      <c r="G25" s="1">
        <v>4.0999999999999996</v>
      </c>
    </row>
    <row r="26" spans="1:7" x14ac:dyDescent="0.25">
      <c r="A26" s="1" t="s">
        <v>30</v>
      </c>
      <c r="B26" s="1">
        <v>0</v>
      </c>
      <c r="C26" s="1">
        <v>2.5</v>
      </c>
      <c r="D26" s="1">
        <v>2</v>
      </c>
      <c r="E26" s="1">
        <v>10</v>
      </c>
      <c r="F26" s="1">
        <v>10</v>
      </c>
      <c r="G26" s="1">
        <v>4.4000000000000004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46.53465346534653</v>
      </c>
      <c r="C29" s="3">
        <f t="shared" ref="C29:G29" si="1">C24/C28*100</f>
        <v>48</v>
      </c>
      <c r="D29" s="3">
        <f t="shared" si="1"/>
        <v>80</v>
      </c>
      <c r="E29" s="3">
        <f t="shared" si="1"/>
        <v>0</v>
      </c>
      <c r="F29" s="3">
        <f t="shared" si="1"/>
        <v>0</v>
      </c>
      <c r="G29" s="3">
        <f t="shared" si="1"/>
        <v>14.14141414141414</v>
      </c>
    </row>
    <row r="30" spans="1:7" x14ac:dyDescent="0.25">
      <c r="A30" s="3" t="s">
        <v>33</v>
      </c>
      <c r="B30" s="3">
        <f>B25/B28*100</f>
        <v>53.465346534653456</v>
      </c>
      <c r="C30" s="3">
        <f t="shared" ref="C30:G30" si="2">C25/C28*100</f>
        <v>27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41.414141414141412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25</v>
      </c>
      <c r="D31" s="3">
        <f t="shared" si="3"/>
        <v>20</v>
      </c>
      <c r="E31" s="3">
        <f t="shared" si="3"/>
        <v>100</v>
      </c>
      <c r="F31" s="3">
        <f t="shared" si="3"/>
        <v>100</v>
      </c>
      <c r="G31" s="3">
        <f t="shared" si="3"/>
        <v>44.44444444444445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-44.06</v>
      </c>
      <c r="C33" s="3">
        <v>-29.41</v>
      </c>
      <c r="D33" s="3">
        <v>-67.180000000000007</v>
      </c>
      <c r="E33" s="3">
        <v>203.19</v>
      </c>
      <c r="F33" s="3">
        <v>178.21</v>
      </c>
      <c r="G33" s="3">
        <v>12.6</v>
      </c>
    </row>
    <row r="35" spans="1:7" x14ac:dyDescent="0.25">
      <c r="A35" s="3" t="s">
        <v>36</v>
      </c>
      <c r="B35" s="3"/>
      <c r="C35" s="3"/>
      <c r="D35" s="3">
        <f>D33-C33</f>
        <v>-37.77000000000001</v>
      </c>
      <c r="E35" s="3"/>
      <c r="F35" s="3">
        <f>F33-E33</f>
        <v>-24.97999999999999</v>
      </c>
      <c r="G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969F-179B-4726-A17E-D3DC4DF22E54}">
  <dimension ref="A1:G35"/>
  <sheetViews>
    <sheetView topLeftCell="A7" workbookViewId="0">
      <selection activeCell="N22" sqref="N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366.53</v>
      </c>
      <c r="C2" s="1">
        <v>374.53</v>
      </c>
      <c r="D2" s="1">
        <v>346.55</v>
      </c>
      <c r="E2" s="1">
        <v>421.11</v>
      </c>
      <c r="F2" s="1">
        <v>390.05</v>
      </c>
      <c r="G2" s="1">
        <v>362.73</v>
      </c>
    </row>
    <row r="3" spans="1:7" x14ac:dyDescent="0.25">
      <c r="A3" s="1" t="s">
        <v>7</v>
      </c>
      <c r="B3" s="1">
        <v>35.270000000000003</v>
      </c>
      <c r="C3" s="1">
        <v>35.35</v>
      </c>
      <c r="D3" s="1">
        <v>37.33</v>
      </c>
      <c r="E3" s="1">
        <v>41.91</v>
      </c>
      <c r="F3" s="1">
        <v>38.450000000000003</v>
      </c>
      <c r="G3" s="1">
        <v>34.11</v>
      </c>
    </row>
    <row r="4" spans="1:7" x14ac:dyDescent="0.25">
      <c r="A4" s="1" t="s">
        <v>8</v>
      </c>
      <c r="B4" s="1">
        <v>13152.1</v>
      </c>
      <c r="C4" s="1">
        <v>13463.87</v>
      </c>
      <c r="D4" s="1">
        <v>13083.2</v>
      </c>
      <c r="E4" s="1">
        <v>17941.8</v>
      </c>
      <c r="F4" s="1">
        <v>15261.47</v>
      </c>
      <c r="G4" s="1">
        <v>12753.4</v>
      </c>
    </row>
    <row r="5" spans="1:7" x14ac:dyDescent="0.25">
      <c r="A5" s="1" t="s">
        <v>9</v>
      </c>
      <c r="B5" s="1">
        <v>218.77</v>
      </c>
      <c r="C5" s="1">
        <v>134.74</v>
      </c>
      <c r="D5" s="1">
        <v>462.6</v>
      </c>
      <c r="E5" s="1">
        <v>944.18</v>
      </c>
      <c r="F5" s="1">
        <v>762.1</v>
      </c>
      <c r="G5" s="1">
        <v>708.74</v>
      </c>
    </row>
    <row r="6" spans="1:7" x14ac:dyDescent="0.25">
      <c r="A6" s="3" t="s">
        <v>10</v>
      </c>
      <c r="B6" s="3">
        <v>21.88</v>
      </c>
      <c r="C6" s="3">
        <v>13.61</v>
      </c>
      <c r="D6" s="3">
        <v>46.73</v>
      </c>
      <c r="E6" s="3">
        <v>95.37</v>
      </c>
      <c r="F6" s="3">
        <v>76.98</v>
      </c>
      <c r="G6" s="3">
        <v>72.319999999999993</v>
      </c>
    </row>
    <row r="7" spans="1:7" x14ac:dyDescent="0.25">
      <c r="A7" s="1" t="s">
        <v>11</v>
      </c>
      <c r="B7" s="1">
        <v>181.72</v>
      </c>
      <c r="C7" s="1">
        <v>121.62</v>
      </c>
      <c r="D7" s="1">
        <v>412.46</v>
      </c>
      <c r="E7" s="1">
        <v>796.03</v>
      </c>
      <c r="F7" s="1">
        <v>723.46</v>
      </c>
      <c r="G7" s="1">
        <v>633.72</v>
      </c>
    </row>
    <row r="8" spans="1:7" x14ac:dyDescent="0.25">
      <c r="A8" s="1" t="s">
        <v>12</v>
      </c>
      <c r="B8" s="1">
        <v>18.170000000000002</v>
      </c>
      <c r="C8" s="1">
        <v>12.28</v>
      </c>
      <c r="D8" s="1">
        <v>41.66</v>
      </c>
      <c r="E8" s="1">
        <v>80.41</v>
      </c>
      <c r="F8" s="1">
        <v>73.08</v>
      </c>
      <c r="G8" s="1">
        <v>64.67</v>
      </c>
    </row>
    <row r="9" spans="1:7" x14ac:dyDescent="0.25">
      <c r="A9" s="1" t="s">
        <v>13</v>
      </c>
      <c r="B9" s="1">
        <v>30.05</v>
      </c>
      <c r="C9" s="1">
        <v>-16.73</v>
      </c>
      <c r="D9" s="1">
        <v>-234.48</v>
      </c>
      <c r="E9" s="1">
        <v>305.36</v>
      </c>
      <c r="F9" s="1">
        <v>622.33000000000004</v>
      </c>
      <c r="G9" s="1">
        <v>368.58</v>
      </c>
    </row>
    <row r="10" spans="1:7" x14ac:dyDescent="0.25">
      <c r="A10" s="1" t="s">
        <v>14</v>
      </c>
      <c r="B10" s="1">
        <v>3.01</v>
      </c>
      <c r="C10" s="1">
        <v>-1.69</v>
      </c>
      <c r="D10" s="1">
        <v>-23.68</v>
      </c>
      <c r="E10" s="1">
        <v>30.84</v>
      </c>
      <c r="F10" s="1">
        <v>62.86</v>
      </c>
      <c r="G10" s="1">
        <v>37.61</v>
      </c>
    </row>
    <row r="11" spans="1:7" x14ac:dyDescent="0.25">
      <c r="A11" s="1" t="s">
        <v>15</v>
      </c>
      <c r="B11" s="1">
        <v>6.75</v>
      </c>
      <c r="C11" s="1">
        <v>5.99</v>
      </c>
      <c r="D11" s="1">
        <v>151.11000000000001</v>
      </c>
      <c r="E11" s="1">
        <v>108.77</v>
      </c>
      <c r="F11" s="1">
        <v>341.26</v>
      </c>
      <c r="G11" s="1">
        <v>307.76</v>
      </c>
    </row>
    <row r="12" spans="1:7" x14ac:dyDescent="0.25">
      <c r="A12" s="1" t="s">
        <v>16</v>
      </c>
      <c r="B12" s="1">
        <v>136.19</v>
      </c>
      <c r="C12" s="1">
        <v>125.47</v>
      </c>
      <c r="D12" s="1">
        <v>158.24</v>
      </c>
      <c r="E12" s="1">
        <v>181.41</v>
      </c>
      <c r="F12" s="1">
        <v>212.51</v>
      </c>
      <c r="G12" s="1">
        <v>170.52</v>
      </c>
    </row>
    <row r="13" spans="1:7" x14ac:dyDescent="0.25">
      <c r="A13" s="1" t="s">
        <v>17</v>
      </c>
      <c r="B13" s="1">
        <v>36.54</v>
      </c>
      <c r="C13" s="1">
        <v>40.270000000000003</v>
      </c>
      <c r="D13" s="1">
        <v>39.86</v>
      </c>
      <c r="E13" s="1">
        <v>44.46</v>
      </c>
      <c r="F13" s="1">
        <v>31</v>
      </c>
      <c r="G13" s="1">
        <v>34.08</v>
      </c>
    </row>
    <row r="14" spans="1:7" x14ac:dyDescent="0.25">
      <c r="A14" s="1" t="s">
        <v>18</v>
      </c>
      <c r="B14" s="1">
        <v>54.9</v>
      </c>
      <c r="C14" s="1">
        <v>55.33</v>
      </c>
      <c r="D14" s="1">
        <v>56.44</v>
      </c>
      <c r="E14" s="1">
        <v>73.930000000000007</v>
      </c>
      <c r="F14" s="1">
        <v>75.48</v>
      </c>
      <c r="G14" s="1">
        <v>70.459999999999994</v>
      </c>
    </row>
    <row r="15" spans="1:7" x14ac:dyDescent="0.25">
      <c r="A15" s="1" t="s">
        <v>19</v>
      </c>
      <c r="B15" s="1">
        <v>3</v>
      </c>
      <c r="C15" s="1">
        <v>1</v>
      </c>
      <c r="D15" s="1">
        <v>2</v>
      </c>
      <c r="E15" s="1">
        <v>6</v>
      </c>
      <c r="F15" s="1">
        <v>6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105.88</v>
      </c>
      <c r="C17" s="1">
        <v>52.44</v>
      </c>
      <c r="D17" s="1">
        <v>88.99</v>
      </c>
      <c r="E17" s="1">
        <v>550.70000000000005</v>
      </c>
      <c r="F17" s="1">
        <v>672.9</v>
      </c>
      <c r="G17" s="1">
        <v>501.15</v>
      </c>
    </row>
    <row r="18" spans="1:7" x14ac:dyDescent="0.25">
      <c r="A18" s="1" t="s">
        <v>22</v>
      </c>
      <c r="B18" s="1">
        <v>75.83</v>
      </c>
      <c r="C18" s="1">
        <v>69.17</v>
      </c>
      <c r="D18" s="1">
        <v>323.47000000000003</v>
      </c>
      <c r="E18" s="1">
        <v>245.33</v>
      </c>
      <c r="F18" s="1">
        <v>50.56</v>
      </c>
      <c r="G18" s="1">
        <v>132.57</v>
      </c>
    </row>
    <row r="19" spans="1:7" x14ac:dyDescent="0.25">
      <c r="A19" s="1" t="s">
        <v>23</v>
      </c>
      <c r="B19" s="1">
        <v>2</v>
      </c>
      <c r="C19" s="1">
        <v>2</v>
      </c>
      <c r="D19" s="1">
        <v>3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3.2</v>
      </c>
      <c r="C20" s="1">
        <v>2.2999999999999998</v>
      </c>
      <c r="D20" s="1">
        <v>6.4</v>
      </c>
      <c r="E20" s="1">
        <v>1.8</v>
      </c>
      <c r="F20" s="1">
        <v>1.1000000000000001</v>
      </c>
      <c r="G20" s="1">
        <v>0</v>
      </c>
    </row>
    <row r="21" spans="1:7" x14ac:dyDescent="0.25">
      <c r="A21" s="1" t="s">
        <v>25</v>
      </c>
      <c r="B21" s="1">
        <v>6.9</v>
      </c>
      <c r="C21" s="1">
        <v>7.7</v>
      </c>
      <c r="D21" s="1">
        <v>3.6</v>
      </c>
      <c r="E21" s="1">
        <v>8.1999999999999993</v>
      </c>
      <c r="F21" s="1">
        <v>8.9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1.8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3</v>
      </c>
      <c r="E24" s="1">
        <v>1.6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7</v>
      </c>
      <c r="E25" s="1">
        <v>4.8</v>
      </c>
      <c r="F25" s="1">
        <v>6</v>
      </c>
      <c r="G25" s="1">
        <v>5.4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3.6</v>
      </c>
      <c r="F26" s="1">
        <v>4</v>
      </c>
      <c r="G26" s="1">
        <v>4.5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30</v>
      </c>
      <c r="E29" s="3">
        <f t="shared" si="1"/>
        <v>16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70</v>
      </c>
      <c r="E30" s="3">
        <f t="shared" si="2"/>
        <v>48</v>
      </c>
      <c r="F30" s="3">
        <f t="shared" si="2"/>
        <v>60</v>
      </c>
      <c r="G30" s="3">
        <f t="shared" si="2"/>
        <v>54.545454545454554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36</v>
      </c>
      <c r="F31" s="3">
        <f t="shared" si="3"/>
        <v>40</v>
      </c>
      <c r="G31" s="3">
        <f t="shared" si="3"/>
        <v>45.454545454545453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0.4</v>
      </c>
      <c r="C33" s="3">
        <v>-0.15</v>
      </c>
      <c r="D33" s="3">
        <v>-22.14</v>
      </c>
      <c r="E33" s="3">
        <v>8.9600000000000009</v>
      </c>
      <c r="F33" s="3">
        <v>57.66</v>
      </c>
      <c r="G33" s="3">
        <v>40.78</v>
      </c>
    </row>
    <row r="35" spans="1:7" x14ac:dyDescent="0.25">
      <c r="A35" s="3" t="s">
        <v>36</v>
      </c>
      <c r="B35" s="3"/>
      <c r="C35" s="3"/>
      <c r="D35" s="3">
        <f>D33-C33</f>
        <v>-21.990000000000002</v>
      </c>
      <c r="E35" s="3"/>
      <c r="F35" s="3">
        <f>F33-E33</f>
        <v>48.699999999999996</v>
      </c>
      <c r="G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8EA8-43AF-40E5-A316-3BE5BE4518FB}">
  <dimension ref="A1:G35"/>
  <sheetViews>
    <sheetView topLeftCell="A10" workbookViewId="0">
      <selection activeCell="L22" sqref="L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442.35</v>
      </c>
      <c r="C2" s="1">
        <v>345.91</v>
      </c>
      <c r="D2" s="1">
        <v>368.56</v>
      </c>
      <c r="E2" s="1">
        <v>392.01</v>
      </c>
      <c r="F2" s="1">
        <v>369.56</v>
      </c>
      <c r="G2" s="1">
        <v>343.29</v>
      </c>
    </row>
    <row r="3" spans="1:7" x14ac:dyDescent="0.25">
      <c r="A3" s="1" t="s">
        <v>7</v>
      </c>
      <c r="B3" s="1">
        <v>43.93</v>
      </c>
      <c r="C3" s="1">
        <v>40.299999999999997</v>
      </c>
      <c r="D3" s="1">
        <v>40.01</v>
      </c>
      <c r="E3" s="1">
        <v>40.659999999999997</v>
      </c>
      <c r="F3" s="1">
        <v>38.49</v>
      </c>
      <c r="G3" s="1">
        <v>33.450000000000003</v>
      </c>
    </row>
    <row r="4" spans="1:7" x14ac:dyDescent="0.25">
      <c r="A4" s="1" t="s">
        <v>8</v>
      </c>
      <c r="B4" s="1">
        <v>19759.97</v>
      </c>
      <c r="C4" s="1">
        <v>14219.72</v>
      </c>
      <c r="D4" s="1">
        <v>14915.39</v>
      </c>
      <c r="E4" s="1">
        <v>16315.39</v>
      </c>
      <c r="F4" s="1">
        <v>14491.4</v>
      </c>
      <c r="G4" s="1">
        <v>11719.31</v>
      </c>
    </row>
    <row r="5" spans="1:7" x14ac:dyDescent="0.25">
      <c r="A5" s="1" t="s">
        <v>9</v>
      </c>
      <c r="B5" s="1">
        <v>167.85</v>
      </c>
      <c r="C5" s="1">
        <v>642.85</v>
      </c>
      <c r="D5" s="1">
        <v>856.64</v>
      </c>
      <c r="E5" s="1">
        <v>1532.53</v>
      </c>
      <c r="F5" s="1">
        <v>1261.48</v>
      </c>
      <c r="G5" s="1">
        <v>1140.6300000000001</v>
      </c>
    </row>
    <row r="6" spans="1:7" x14ac:dyDescent="0.25">
      <c r="A6" s="3" t="s">
        <v>10</v>
      </c>
      <c r="B6" s="3">
        <v>16.78</v>
      </c>
      <c r="C6" s="3">
        <v>64.930000000000007</v>
      </c>
      <c r="D6" s="3">
        <v>86.53</v>
      </c>
      <c r="E6" s="3">
        <v>154.80000000000001</v>
      </c>
      <c r="F6" s="3">
        <v>127.42</v>
      </c>
      <c r="G6" s="3">
        <v>116.39</v>
      </c>
    </row>
    <row r="7" spans="1:7" x14ac:dyDescent="0.25">
      <c r="A7" s="1" t="s">
        <v>11</v>
      </c>
      <c r="B7" s="1">
        <v>156.79</v>
      </c>
      <c r="C7" s="1">
        <v>553.46</v>
      </c>
      <c r="D7" s="1">
        <v>730.81</v>
      </c>
      <c r="E7" s="1">
        <v>1439.73</v>
      </c>
      <c r="F7" s="1">
        <v>1140.17</v>
      </c>
      <c r="G7" s="1">
        <v>1035.3900000000001</v>
      </c>
    </row>
    <row r="8" spans="1:7" x14ac:dyDescent="0.25">
      <c r="A8" s="1" t="s">
        <v>12</v>
      </c>
      <c r="B8" s="1">
        <v>15.68</v>
      </c>
      <c r="C8" s="1">
        <v>55.91</v>
      </c>
      <c r="D8" s="1">
        <v>73.819999999999993</v>
      </c>
      <c r="E8" s="1">
        <v>145.43</v>
      </c>
      <c r="F8" s="1">
        <v>115.17</v>
      </c>
      <c r="G8" s="1">
        <v>105.65</v>
      </c>
    </row>
    <row r="9" spans="1:7" x14ac:dyDescent="0.25">
      <c r="A9" s="1" t="s">
        <v>13</v>
      </c>
      <c r="B9" s="1">
        <v>37.450000000000003</v>
      </c>
      <c r="C9" s="1">
        <v>-152.1</v>
      </c>
      <c r="D9" s="1">
        <v>-343.84</v>
      </c>
      <c r="E9" s="1">
        <v>1368.89</v>
      </c>
      <c r="F9" s="1">
        <v>994.06</v>
      </c>
      <c r="G9" s="1">
        <v>968.22</v>
      </c>
    </row>
    <row r="10" spans="1:7" x14ac:dyDescent="0.25">
      <c r="A10" s="1" t="s">
        <v>14</v>
      </c>
      <c r="B10" s="1">
        <v>3.74</v>
      </c>
      <c r="C10" s="1">
        <v>-15.36</v>
      </c>
      <c r="D10" s="1">
        <v>-34.729999999999997</v>
      </c>
      <c r="E10" s="1">
        <v>138.27000000000001</v>
      </c>
      <c r="F10" s="1">
        <v>100.41</v>
      </c>
      <c r="G10" s="1">
        <v>98.8</v>
      </c>
    </row>
    <row r="11" spans="1:7" x14ac:dyDescent="0.25">
      <c r="A11" s="1" t="s">
        <v>15</v>
      </c>
      <c r="B11" s="1">
        <v>21.44</v>
      </c>
      <c r="C11" s="1">
        <v>101.6</v>
      </c>
      <c r="D11" s="1">
        <v>210.19</v>
      </c>
      <c r="E11" s="1">
        <v>1160.77</v>
      </c>
      <c r="F11" s="1">
        <v>783.58</v>
      </c>
      <c r="G11" s="1">
        <v>990.98</v>
      </c>
    </row>
    <row r="12" spans="1:7" x14ac:dyDescent="0.25">
      <c r="A12" s="1" t="s">
        <v>16</v>
      </c>
      <c r="B12" s="1">
        <v>229.11</v>
      </c>
      <c r="C12" s="1">
        <v>190.77</v>
      </c>
      <c r="D12" s="1">
        <v>161.80000000000001</v>
      </c>
      <c r="E12" s="1">
        <v>207.54</v>
      </c>
      <c r="F12" s="1">
        <v>189.3</v>
      </c>
      <c r="G12" s="1">
        <v>188.49</v>
      </c>
    </row>
    <row r="13" spans="1:7" x14ac:dyDescent="0.25">
      <c r="A13" s="1" t="s">
        <v>17</v>
      </c>
      <c r="B13" s="1">
        <v>12.62</v>
      </c>
      <c r="C13" s="1">
        <v>18.920000000000002</v>
      </c>
      <c r="D13" s="1">
        <v>44.82</v>
      </c>
      <c r="E13" s="1">
        <v>23.32</v>
      </c>
      <c r="F13" s="1">
        <v>29.17</v>
      </c>
      <c r="G13" s="1">
        <v>16.559999999999999</v>
      </c>
    </row>
    <row r="14" spans="1:7" x14ac:dyDescent="0.25">
      <c r="A14" s="1" t="s">
        <v>18</v>
      </c>
      <c r="B14" s="1">
        <v>22.65</v>
      </c>
      <c r="C14" s="1">
        <v>48.35</v>
      </c>
      <c r="D14" s="1">
        <v>71.78</v>
      </c>
      <c r="E14" s="1">
        <v>62.09</v>
      </c>
      <c r="F14" s="1">
        <v>73.53</v>
      </c>
      <c r="G14" s="1">
        <v>42.4</v>
      </c>
    </row>
    <row r="15" spans="1:7" x14ac:dyDescent="0.25">
      <c r="A15" s="1" t="s">
        <v>19</v>
      </c>
      <c r="B15" s="1">
        <v>2</v>
      </c>
      <c r="C15" s="1">
        <v>4</v>
      </c>
      <c r="D15" s="1">
        <v>4</v>
      </c>
      <c r="E15" s="1">
        <v>7</v>
      </c>
      <c r="F15" s="1">
        <v>8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97.12</v>
      </c>
      <c r="C17" s="1">
        <v>200.68</v>
      </c>
      <c r="D17" s="1">
        <v>193.48</v>
      </c>
      <c r="E17" s="1">
        <v>1404.31</v>
      </c>
      <c r="F17" s="1">
        <v>1067.1199999999999</v>
      </c>
      <c r="G17" s="1">
        <v>1001.8</v>
      </c>
    </row>
    <row r="18" spans="1:7" x14ac:dyDescent="0.25">
      <c r="A18" s="1" t="s">
        <v>22</v>
      </c>
      <c r="B18" s="1">
        <v>59.67</v>
      </c>
      <c r="C18" s="1">
        <v>352.78</v>
      </c>
      <c r="D18" s="1">
        <v>537.32000000000005</v>
      </c>
      <c r="E18" s="1">
        <v>35.42</v>
      </c>
      <c r="F18" s="1">
        <v>73.05</v>
      </c>
      <c r="G18" s="1">
        <v>33.58</v>
      </c>
    </row>
    <row r="19" spans="1:7" x14ac:dyDescent="0.25">
      <c r="A19" s="1" t="s">
        <v>23</v>
      </c>
      <c r="B19" s="1">
        <v>1</v>
      </c>
      <c r="C19" s="1">
        <v>3</v>
      </c>
      <c r="D19" s="1">
        <v>1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1.7</v>
      </c>
      <c r="C20" s="1">
        <v>4.4000000000000004</v>
      </c>
      <c r="D20" s="1">
        <v>3.3</v>
      </c>
      <c r="E20" s="1">
        <v>0</v>
      </c>
      <c r="F20" s="1">
        <v>1.3</v>
      </c>
      <c r="G20" s="1">
        <v>0</v>
      </c>
    </row>
    <row r="21" spans="1:7" x14ac:dyDescent="0.25">
      <c r="A21" s="1" t="s">
        <v>25</v>
      </c>
      <c r="B21" s="1">
        <v>8.4</v>
      </c>
      <c r="C21" s="1">
        <v>5.6</v>
      </c>
      <c r="D21" s="1">
        <v>6.7</v>
      </c>
      <c r="E21" s="1">
        <v>10</v>
      </c>
      <c r="F21" s="1">
        <v>8.6999999999999993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1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2.2999999999999998</v>
      </c>
      <c r="E23" s="1">
        <v>0</v>
      </c>
      <c r="F23" s="1">
        <v>2.7</v>
      </c>
      <c r="G23" s="1">
        <v>0</v>
      </c>
    </row>
    <row r="24" spans="1:7" x14ac:dyDescent="0.25">
      <c r="A24" s="1" t="s">
        <v>28</v>
      </c>
      <c r="B24" s="1">
        <v>0</v>
      </c>
      <c r="C24" s="1">
        <v>3.2</v>
      </c>
      <c r="D24" s="1">
        <v>2.7</v>
      </c>
      <c r="E24" s="1">
        <v>0</v>
      </c>
      <c r="F24" s="1">
        <v>1.8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5.5</v>
      </c>
      <c r="D25" s="1">
        <v>4.7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0</v>
      </c>
      <c r="C26" s="1">
        <v>1.3</v>
      </c>
      <c r="D26" s="1">
        <v>2.6</v>
      </c>
      <c r="E26" s="1">
        <v>10</v>
      </c>
      <c r="F26" s="1">
        <v>8.1999999999999993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32</v>
      </c>
      <c r="D29" s="3">
        <f t="shared" si="1"/>
        <v>27</v>
      </c>
      <c r="E29" s="3">
        <f t="shared" si="1"/>
        <v>0</v>
      </c>
      <c r="F29" s="3">
        <f t="shared" si="1"/>
        <v>18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55.000000000000007</v>
      </c>
      <c r="D30" s="3">
        <f t="shared" si="2"/>
        <v>47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13</v>
      </c>
      <c r="D31" s="3">
        <f t="shared" si="3"/>
        <v>26</v>
      </c>
      <c r="E31" s="3">
        <f t="shared" si="3"/>
        <v>100</v>
      </c>
      <c r="F31" s="3">
        <f t="shared" si="3"/>
        <v>82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2.41</v>
      </c>
      <c r="C33" s="3">
        <v>-9.44</v>
      </c>
      <c r="D33" s="3">
        <v>-17.48</v>
      </c>
      <c r="E33" s="3">
        <v>140.53</v>
      </c>
      <c r="F33" s="3">
        <v>85.18</v>
      </c>
      <c r="G33" s="3">
        <v>108.22</v>
      </c>
    </row>
    <row r="35" spans="1:7" x14ac:dyDescent="0.25">
      <c r="A35" s="3" t="s">
        <v>36</v>
      </c>
      <c r="B35" s="3"/>
      <c r="C35" s="3"/>
      <c r="D35" s="3">
        <f>D33-C33</f>
        <v>-8.0400000000000009</v>
      </c>
      <c r="E35" s="3"/>
      <c r="F35" s="3">
        <f>F33-E33</f>
        <v>-55.349999999999994</v>
      </c>
      <c r="G3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44F8-9541-46C6-9743-84893B9BA57C}">
  <dimension ref="A1:G35"/>
  <sheetViews>
    <sheetView topLeftCell="A10" workbookViewId="0">
      <selection activeCell="Q30" sqref="Q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437.98</v>
      </c>
      <c r="C2" s="1">
        <v>473.77</v>
      </c>
      <c r="D2" s="1">
        <v>464.48</v>
      </c>
      <c r="E2" s="1">
        <v>434.63</v>
      </c>
      <c r="F2" s="1">
        <v>465.75</v>
      </c>
      <c r="G2" s="1">
        <v>436.14</v>
      </c>
    </row>
    <row r="3" spans="1:7" x14ac:dyDescent="0.25">
      <c r="A3" s="1" t="s">
        <v>7</v>
      </c>
      <c r="B3" s="1">
        <v>45.03</v>
      </c>
      <c r="C3" s="1">
        <v>47.25</v>
      </c>
      <c r="D3" s="1">
        <v>45.37</v>
      </c>
      <c r="E3" s="1">
        <v>43.14</v>
      </c>
      <c r="F3" s="1">
        <v>38.69</v>
      </c>
      <c r="G3" s="1">
        <v>39.08</v>
      </c>
    </row>
    <row r="4" spans="1:7" x14ac:dyDescent="0.25">
      <c r="A4" s="1" t="s">
        <v>8</v>
      </c>
      <c r="B4" s="1">
        <v>20040.080000000002</v>
      </c>
      <c r="C4" s="1">
        <v>22734.51</v>
      </c>
      <c r="D4" s="1">
        <v>21409.56</v>
      </c>
      <c r="E4" s="1">
        <v>19056.810000000001</v>
      </c>
      <c r="F4" s="1">
        <v>18308.12</v>
      </c>
      <c r="G4" s="1">
        <v>17357</v>
      </c>
    </row>
    <row r="5" spans="1:7" x14ac:dyDescent="0.25">
      <c r="A5" s="1" t="s">
        <v>9</v>
      </c>
      <c r="B5" s="1">
        <v>828.06</v>
      </c>
      <c r="C5" s="1">
        <v>984.12</v>
      </c>
      <c r="D5" s="1">
        <v>1190.1600000000001</v>
      </c>
      <c r="E5" s="1">
        <v>1861.96</v>
      </c>
      <c r="F5" s="1">
        <v>2447.25</v>
      </c>
      <c r="G5" s="1">
        <v>1163.5999999999999</v>
      </c>
    </row>
    <row r="6" spans="1:7" x14ac:dyDescent="0.25">
      <c r="A6" s="3" t="s">
        <v>10</v>
      </c>
      <c r="B6" s="3">
        <v>82.81</v>
      </c>
      <c r="C6" s="3">
        <v>99.41</v>
      </c>
      <c r="D6" s="3">
        <v>120.22</v>
      </c>
      <c r="E6" s="3">
        <v>188.08</v>
      </c>
      <c r="F6" s="3">
        <v>247.2</v>
      </c>
      <c r="G6" s="3">
        <v>118.73</v>
      </c>
    </row>
    <row r="7" spans="1:7" x14ac:dyDescent="0.25">
      <c r="A7" s="1" t="s">
        <v>11</v>
      </c>
      <c r="B7" s="1">
        <v>715.37</v>
      </c>
      <c r="C7" s="1">
        <v>842.43</v>
      </c>
      <c r="D7" s="1">
        <v>1052.29</v>
      </c>
      <c r="E7" s="1">
        <v>1673.13</v>
      </c>
      <c r="F7" s="1">
        <v>2253.88</v>
      </c>
      <c r="G7" s="1">
        <v>1039.06</v>
      </c>
    </row>
    <row r="8" spans="1:7" x14ac:dyDescent="0.25">
      <c r="A8" s="1" t="s">
        <v>12</v>
      </c>
      <c r="B8" s="1">
        <v>71.540000000000006</v>
      </c>
      <c r="C8" s="1">
        <v>85.09</v>
      </c>
      <c r="D8" s="1">
        <v>106.29</v>
      </c>
      <c r="E8" s="1">
        <v>169</v>
      </c>
      <c r="F8" s="1">
        <v>227.66</v>
      </c>
      <c r="G8" s="1">
        <v>106.03</v>
      </c>
    </row>
    <row r="9" spans="1:7" x14ac:dyDescent="0.25">
      <c r="A9" s="1" t="s">
        <v>13</v>
      </c>
      <c r="B9" s="1">
        <v>-231.15</v>
      </c>
      <c r="C9" s="1">
        <v>-243.71</v>
      </c>
      <c r="D9" s="1">
        <v>505.9</v>
      </c>
      <c r="E9" s="1">
        <v>1267.53</v>
      </c>
      <c r="F9" s="1">
        <v>2253.88</v>
      </c>
      <c r="G9" s="1">
        <v>-514.58000000000004</v>
      </c>
    </row>
    <row r="10" spans="1:7" x14ac:dyDescent="0.25">
      <c r="A10" s="1" t="s">
        <v>14</v>
      </c>
      <c r="B10" s="1">
        <v>-23.11</v>
      </c>
      <c r="C10" s="1">
        <v>-24.62</v>
      </c>
      <c r="D10" s="1">
        <v>51.1</v>
      </c>
      <c r="E10" s="1">
        <v>128.03</v>
      </c>
      <c r="F10" s="1">
        <v>227.66</v>
      </c>
      <c r="G10" s="1">
        <v>-52.51</v>
      </c>
    </row>
    <row r="11" spans="1:7" x14ac:dyDescent="0.25">
      <c r="A11" s="1" t="s">
        <v>15</v>
      </c>
      <c r="B11" s="1">
        <v>33.53</v>
      </c>
      <c r="C11" s="1">
        <v>140.91999999999999</v>
      </c>
      <c r="D11" s="1">
        <v>339.8</v>
      </c>
      <c r="E11" s="1">
        <v>1198.92</v>
      </c>
      <c r="F11" s="1">
        <v>2222.5100000000002</v>
      </c>
      <c r="G11" s="1">
        <v>196.96</v>
      </c>
    </row>
    <row r="12" spans="1:7" x14ac:dyDescent="0.25">
      <c r="A12" s="1" t="s">
        <v>16</v>
      </c>
      <c r="B12" s="1">
        <v>183.23</v>
      </c>
      <c r="C12" s="1">
        <v>181.35</v>
      </c>
      <c r="D12" s="1">
        <v>215.52</v>
      </c>
      <c r="E12" s="1">
        <v>207.42</v>
      </c>
      <c r="F12" s="1">
        <v>256.43</v>
      </c>
      <c r="G12" s="1">
        <v>217.03</v>
      </c>
    </row>
    <row r="13" spans="1:7" x14ac:dyDescent="0.25">
      <c r="A13" s="1" t="s">
        <v>17</v>
      </c>
      <c r="B13" s="1">
        <v>39.9</v>
      </c>
      <c r="C13" s="1">
        <v>58.29</v>
      </c>
      <c r="D13" s="1">
        <v>52.37</v>
      </c>
      <c r="E13" s="1">
        <v>35.83</v>
      </c>
      <c r="F13" s="1">
        <v>26.12</v>
      </c>
      <c r="G13" s="1">
        <v>44.28</v>
      </c>
    </row>
    <row r="14" spans="1:7" x14ac:dyDescent="0.25">
      <c r="A14" s="1" t="s">
        <v>18</v>
      </c>
      <c r="B14" s="1">
        <v>82.95</v>
      </c>
      <c r="C14" s="1">
        <v>102.18</v>
      </c>
      <c r="D14" s="1">
        <v>94.24</v>
      </c>
      <c r="E14" s="1">
        <v>73.849999999999994</v>
      </c>
      <c r="F14" s="1">
        <v>56.34</v>
      </c>
      <c r="G14" s="1">
        <v>81.819999999999993</v>
      </c>
    </row>
    <row r="15" spans="1:7" x14ac:dyDescent="0.25">
      <c r="A15" s="1" t="s">
        <v>19</v>
      </c>
      <c r="B15" s="1">
        <v>5</v>
      </c>
      <c r="C15" s="1">
        <v>4</v>
      </c>
      <c r="D15" s="1">
        <v>6</v>
      </c>
      <c r="E15" s="1">
        <v>6</v>
      </c>
      <c r="F15" s="1">
        <v>9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242.11</v>
      </c>
      <c r="C17" s="1">
        <v>299.36</v>
      </c>
      <c r="D17" s="1">
        <v>779.1</v>
      </c>
      <c r="E17" s="1">
        <v>1470.33</v>
      </c>
      <c r="F17" s="1">
        <v>2253.88</v>
      </c>
      <c r="G17" s="1">
        <v>262.24</v>
      </c>
    </row>
    <row r="18" spans="1:7" x14ac:dyDescent="0.25">
      <c r="A18" s="1" t="s">
        <v>22</v>
      </c>
      <c r="B18" s="1">
        <v>473.26</v>
      </c>
      <c r="C18" s="1">
        <v>543.07000000000005</v>
      </c>
      <c r="D18" s="1">
        <v>273.2</v>
      </c>
      <c r="E18" s="1">
        <v>202.8</v>
      </c>
      <c r="F18" s="1">
        <v>0</v>
      </c>
      <c r="G18" s="1">
        <v>776.82</v>
      </c>
    </row>
    <row r="19" spans="1:7" x14ac:dyDescent="0.25">
      <c r="A19" s="1" t="s">
        <v>23</v>
      </c>
      <c r="B19" s="1">
        <v>2</v>
      </c>
      <c r="C19" s="1">
        <v>3</v>
      </c>
      <c r="D19" s="1">
        <v>2</v>
      </c>
      <c r="E19" s="1">
        <v>1</v>
      </c>
      <c r="F19" s="1">
        <v>0</v>
      </c>
      <c r="G19" s="1">
        <v>2</v>
      </c>
    </row>
    <row r="20" spans="1:7" x14ac:dyDescent="0.25">
      <c r="A20" s="1" t="s">
        <v>24</v>
      </c>
      <c r="B20" s="1">
        <v>3.1</v>
      </c>
      <c r="C20" s="1">
        <v>4.5999999999999996</v>
      </c>
      <c r="D20" s="1">
        <v>3.2</v>
      </c>
      <c r="E20" s="1">
        <v>2.1</v>
      </c>
      <c r="F20" s="1">
        <v>0</v>
      </c>
      <c r="G20" s="1">
        <v>3.7</v>
      </c>
    </row>
    <row r="21" spans="1:7" x14ac:dyDescent="0.25">
      <c r="A21" s="1" t="s">
        <v>25</v>
      </c>
      <c r="B21" s="1">
        <v>7</v>
      </c>
      <c r="C21" s="1">
        <v>5.4</v>
      </c>
      <c r="D21" s="1">
        <v>6.8</v>
      </c>
      <c r="E21" s="1">
        <v>7.9</v>
      </c>
      <c r="F21" s="1">
        <v>10</v>
      </c>
      <c r="G21" s="1">
        <v>6.2</v>
      </c>
    </row>
    <row r="22" spans="1:7" x14ac:dyDescent="0.25">
      <c r="A22" s="1" t="s">
        <v>26</v>
      </c>
      <c r="B22" s="1">
        <v>1</v>
      </c>
      <c r="C22" s="1">
        <v>0</v>
      </c>
      <c r="D22" s="1">
        <v>2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2.9</v>
      </c>
      <c r="C23" s="1">
        <v>0</v>
      </c>
      <c r="D23" s="1">
        <v>4</v>
      </c>
      <c r="E23" s="1">
        <v>0</v>
      </c>
      <c r="F23" s="1">
        <v>0</v>
      </c>
      <c r="G23" s="1">
        <v>2.5</v>
      </c>
    </row>
    <row r="24" spans="1:7" x14ac:dyDescent="0.25">
      <c r="A24" s="1" t="s">
        <v>28</v>
      </c>
      <c r="B24" s="1">
        <v>1.9</v>
      </c>
      <c r="C24" s="1">
        <v>4.7</v>
      </c>
      <c r="D24" s="1">
        <v>2.8</v>
      </c>
      <c r="E24" s="1">
        <v>0</v>
      </c>
      <c r="F24" s="1">
        <v>0</v>
      </c>
      <c r="G24" s="1">
        <v>4</v>
      </c>
    </row>
    <row r="25" spans="1:7" x14ac:dyDescent="0.25">
      <c r="A25" s="1" t="s">
        <v>29</v>
      </c>
      <c r="B25" s="1">
        <v>5.4</v>
      </c>
      <c r="C25" s="1">
        <v>2.1</v>
      </c>
      <c r="D25" s="1">
        <v>0</v>
      </c>
      <c r="E25" s="1">
        <v>3.8</v>
      </c>
      <c r="F25" s="1">
        <v>0</v>
      </c>
      <c r="G25" s="1">
        <v>0</v>
      </c>
    </row>
    <row r="26" spans="1:7" x14ac:dyDescent="0.25">
      <c r="A26" s="1" t="s">
        <v>30</v>
      </c>
      <c r="B26" s="1">
        <v>2.8</v>
      </c>
      <c r="C26" s="1">
        <v>3.2</v>
      </c>
      <c r="D26" s="1">
        <v>7.2</v>
      </c>
      <c r="E26" s="1">
        <v>6.2</v>
      </c>
      <c r="F26" s="1">
        <v>10</v>
      </c>
      <c r="G26" s="1">
        <v>5.9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18.811881188118811</v>
      </c>
      <c r="C29" s="3">
        <f t="shared" ref="C29:G29" si="1">C24/C28*100</f>
        <v>47</v>
      </c>
      <c r="D29" s="3">
        <f t="shared" si="1"/>
        <v>27.999999999999996</v>
      </c>
      <c r="E29" s="3">
        <f t="shared" si="1"/>
        <v>0</v>
      </c>
      <c r="F29" s="3">
        <f t="shared" si="1"/>
        <v>0</v>
      </c>
      <c r="G29" s="3">
        <f t="shared" si="1"/>
        <v>40.404040404040401</v>
      </c>
    </row>
    <row r="30" spans="1:7" x14ac:dyDescent="0.25">
      <c r="A30" s="3" t="s">
        <v>33</v>
      </c>
      <c r="B30" s="3">
        <f>B25/B28*100</f>
        <v>53.465346534653456</v>
      </c>
      <c r="C30" s="3">
        <f t="shared" ref="C30:G30" si="2">C25/C28*100</f>
        <v>21.000000000000004</v>
      </c>
      <c r="D30" s="3">
        <f t="shared" si="2"/>
        <v>0</v>
      </c>
      <c r="E30" s="3">
        <f t="shared" si="2"/>
        <v>38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27.722772277227719</v>
      </c>
      <c r="C31" s="3">
        <f t="shared" ref="C31:G31" si="3">C26/C28*100</f>
        <v>32</v>
      </c>
      <c r="D31" s="3">
        <f t="shared" si="3"/>
        <v>72</v>
      </c>
      <c r="E31" s="3">
        <f t="shared" si="3"/>
        <v>62</v>
      </c>
      <c r="F31" s="3">
        <f t="shared" si="3"/>
        <v>100</v>
      </c>
      <c r="G31" s="3">
        <f t="shared" si="3"/>
        <v>59.595959595959599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2.4500000000000002</v>
      </c>
      <c r="C33" s="3">
        <v>-13.77</v>
      </c>
      <c r="D33" s="3">
        <v>22.25</v>
      </c>
      <c r="E33" s="3">
        <v>126.05</v>
      </c>
      <c r="F33" s="3">
        <v>242.51</v>
      </c>
      <c r="G33" s="3">
        <v>5.72</v>
      </c>
    </row>
    <row r="35" spans="1:7" x14ac:dyDescent="0.25">
      <c r="A35" s="3" t="s">
        <v>36</v>
      </c>
      <c r="B35" s="3"/>
      <c r="C35" s="3"/>
      <c r="D35" s="3">
        <f>D33-C33</f>
        <v>36.019999999999996</v>
      </c>
      <c r="E35" s="3"/>
      <c r="F35" s="3">
        <f>F33-E33</f>
        <v>116.46</v>
      </c>
      <c r="G3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D833-FEAE-4822-89D5-311D1240CE7A}">
  <dimension ref="A1:G35"/>
  <sheetViews>
    <sheetView topLeftCell="A7" workbookViewId="0">
      <selection activeCell="K30" sqref="K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417.2</v>
      </c>
      <c r="C2" s="1">
        <v>420.45</v>
      </c>
      <c r="D2" s="1">
        <v>420.51</v>
      </c>
      <c r="E2" s="1">
        <v>452.61</v>
      </c>
      <c r="F2" s="1">
        <v>471.74</v>
      </c>
      <c r="G2" s="1">
        <v>465.11</v>
      </c>
    </row>
    <row r="3" spans="1:7" x14ac:dyDescent="0.25">
      <c r="A3" s="1" t="s">
        <v>7</v>
      </c>
      <c r="B3" s="1">
        <v>56.17</v>
      </c>
      <c r="C3" s="1">
        <v>50.87</v>
      </c>
      <c r="D3" s="1">
        <v>49.19</v>
      </c>
      <c r="E3" s="1">
        <v>52.95</v>
      </c>
      <c r="F3" s="1">
        <v>47.88</v>
      </c>
      <c r="G3" s="1">
        <v>49.97</v>
      </c>
    </row>
    <row r="4" spans="1:7" x14ac:dyDescent="0.25">
      <c r="A4" s="1" t="s">
        <v>8</v>
      </c>
      <c r="B4" s="1">
        <v>23692.33</v>
      </c>
      <c r="C4" s="1">
        <v>21735.23</v>
      </c>
      <c r="D4" s="1">
        <v>20902.080000000002</v>
      </c>
      <c r="E4" s="1">
        <v>24316.44</v>
      </c>
      <c r="F4" s="1">
        <v>23029.15</v>
      </c>
      <c r="G4" s="1">
        <v>23582.93</v>
      </c>
    </row>
    <row r="5" spans="1:7" x14ac:dyDescent="0.25">
      <c r="A5" s="1" t="s">
        <v>9</v>
      </c>
      <c r="B5" s="1">
        <v>602.57000000000005</v>
      </c>
      <c r="C5" s="1">
        <v>744.96</v>
      </c>
      <c r="D5" s="1">
        <v>889.7</v>
      </c>
      <c r="E5" s="1">
        <v>1161.6400000000001</v>
      </c>
      <c r="F5" s="1">
        <v>1356.36</v>
      </c>
      <c r="G5" s="1">
        <v>1015.78</v>
      </c>
    </row>
    <row r="6" spans="1:7" x14ac:dyDescent="0.25">
      <c r="A6" s="3" t="s">
        <v>10</v>
      </c>
      <c r="B6" s="3">
        <v>60.26</v>
      </c>
      <c r="C6" s="3">
        <v>75.25</v>
      </c>
      <c r="D6" s="3">
        <v>89.87</v>
      </c>
      <c r="E6" s="3">
        <v>117.34</v>
      </c>
      <c r="F6" s="3">
        <v>137.01</v>
      </c>
      <c r="G6" s="3">
        <v>103.65</v>
      </c>
    </row>
    <row r="7" spans="1:7" x14ac:dyDescent="0.25">
      <c r="A7" s="1" t="s">
        <v>11</v>
      </c>
      <c r="B7" s="1">
        <v>534.41999999999996</v>
      </c>
      <c r="C7" s="1">
        <v>663.01</v>
      </c>
      <c r="D7" s="1">
        <v>835.08</v>
      </c>
      <c r="E7" s="1">
        <v>1042.29</v>
      </c>
      <c r="F7" s="1">
        <v>1310.84</v>
      </c>
      <c r="G7" s="1">
        <v>969.73</v>
      </c>
    </row>
    <row r="8" spans="1:7" x14ac:dyDescent="0.25">
      <c r="A8" s="1" t="s">
        <v>12</v>
      </c>
      <c r="B8" s="1">
        <v>53.44</v>
      </c>
      <c r="C8" s="1">
        <v>66.97</v>
      </c>
      <c r="D8" s="1">
        <v>84.35</v>
      </c>
      <c r="E8" s="1">
        <v>105.28</v>
      </c>
      <c r="F8" s="1">
        <v>132.41</v>
      </c>
      <c r="G8" s="1">
        <v>98.95</v>
      </c>
    </row>
    <row r="9" spans="1:7" x14ac:dyDescent="0.25">
      <c r="A9" s="1" t="s">
        <v>13</v>
      </c>
      <c r="B9" s="1">
        <v>129.59</v>
      </c>
      <c r="C9" s="1">
        <v>363.17</v>
      </c>
      <c r="D9" s="1">
        <v>-418.38</v>
      </c>
      <c r="E9" s="1">
        <v>720.6</v>
      </c>
      <c r="F9" s="1">
        <v>1240.52</v>
      </c>
      <c r="G9" s="1">
        <v>959.01</v>
      </c>
    </row>
    <row r="10" spans="1:7" x14ac:dyDescent="0.25">
      <c r="A10" s="1" t="s">
        <v>14</v>
      </c>
      <c r="B10" s="1">
        <v>12.96</v>
      </c>
      <c r="C10" s="1">
        <v>36.68</v>
      </c>
      <c r="D10" s="1">
        <v>-42.26</v>
      </c>
      <c r="E10" s="1">
        <v>72.790000000000006</v>
      </c>
      <c r="F10" s="1">
        <v>125.31</v>
      </c>
      <c r="G10" s="1">
        <v>97.86</v>
      </c>
    </row>
    <row r="11" spans="1:7" x14ac:dyDescent="0.25">
      <c r="A11" s="1" t="s">
        <v>15</v>
      </c>
      <c r="B11" s="1">
        <v>100.84</v>
      </c>
      <c r="C11" s="1">
        <v>213.21</v>
      </c>
      <c r="D11" s="1">
        <v>153.88999999999999</v>
      </c>
      <c r="E11" s="1">
        <v>441.44</v>
      </c>
      <c r="F11" s="1">
        <v>1037.8499999999999</v>
      </c>
      <c r="G11" s="1">
        <v>827.4</v>
      </c>
    </row>
    <row r="12" spans="1:7" x14ac:dyDescent="0.25">
      <c r="A12" s="1" t="s">
        <v>16</v>
      </c>
      <c r="B12" s="1">
        <v>145.91</v>
      </c>
      <c r="C12" s="1">
        <v>227.48</v>
      </c>
      <c r="D12" s="1">
        <v>220.73</v>
      </c>
      <c r="E12" s="1">
        <v>230.96</v>
      </c>
      <c r="F12" s="1">
        <v>244.62</v>
      </c>
      <c r="G12" s="1">
        <v>242.48</v>
      </c>
    </row>
    <row r="13" spans="1:7" x14ac:dyDescent="0.25">
      <c r="A13" s="1" t="s">
        <v>17</v>
      </c>
      <c r="B13" s="1">
        <v>36.520000000000003</v>
      </c>
      <c r="C13" s="1">
        <v>36.64</v>
      </c>
      <c r="D13" s="1">
        <v>26.41</v>
      </c>
      <c r="E13" s="1">
        <v>32.340000000000003</v>
      </c>
      <c r="F13" s="1">
        <v>31.42</v>
      </c>
      <c r="G13" s="1">
        <v>25.99</v>
      </c>
    </row>
    <row r="14" spans="1:7" x14ac:dyDescent="0.25">
      <c r="A14" s="1" t="s">
        <v>18</v>
      </c>
      <c r="B14" s="1">
        <v>71.12</v>
      </c>
      <c r="C14" s="1">
        <v>72.150000000000006</v>
      </c>
      <c r="D14" s="1">
        <v>73.16</v>
      </c>
      <c r="E14" s="1">
        <v>84.07</v>
      </c>
      <c r="F14" s="1">
        <v>76.260000000000005</v>
      </c>
      <c r="G14" s="1">
        <v>65.03</v>
      </c>
    </row>
    <row r="15" spans="1:7" x14ac:dyDescent="0.25">
      <c r="A15" s="1" t="s">
        <v>19</v>
      </c>
      <c r="B15" s="1">
        <v>5</v>
      </c>
      <c r="C15" s="1">
        <v>3</v>
      </c>
      <c r="D15" s="1">
        <v>5</v>
      </c>
      <c r="E15" s="1">
        <v>4</v>
      </c>
      <c r="F15" s="1">
        <v>5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332</v>
      </c>
      <c r="C17" s="1">
        <v>513.09</v>
      </c>
      <c r="D17" s="1">
        <v>208.35</v>
      </c>
      <c r="E17" s="1">
        <v>881.44</v>
      </c>
      <c r="F17" s="1">
        <v>1275.68</v>
      </c>
      <c r="G17" s="1">
        <v>964.37</v>
      </c>
    </row>
    <row r="18" spans="1:7" x14ac:dyDescent="0.25">
      <c r="A18" s="1" t="s">
        <v>22</v>
      </c>
      <c r="B18" s="1">
        <v>202.42</v>
      </c>
      <c r="C18" s="1">
        <v>149.91999999999999</v>
      </c>
      <c r="D18" s="1">
        <v>626.73</v>
      </c>
      <c r="E18" s="1">
        <v>160.84</v>
      </c>
      <c r="F18" s="1">
        <v>35.159999999999997</v>
      </c>
      <c r="G18" s="1">
        <v>5.36</v>
      </c>
    </row>
    <row r="19" spans="1:7" x14ac:dyDescent="0.25">
      <c r="A19" s="1" t="s">
        <v>23</v>
      </c>
      <c r="B19" s="1">
        <v>2</v>
      </c>
      <c r="C19" s="1">
        <v>1</v>
      </c>
      <c r="D19" s="1">
        <v>2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4.3</v>
      </c>
      <c r="C20" s="1">
        <v>1.4</v>
      </c>
      <c r="D20" s="1">
        <v>4.8</v>
      </c>
      <c r="E20" s="1">
        <v>1.7</v>
      </c>
      <c r="F20" s="1">
        <v>0</v>
      </c>
      <c r="G20" s="1">
        <v>0</v>
      </c>
    </row>
    <row r="21" spans="1:7" x14ac:dyDescent="0.25">
      <c r="A21" s="1" t="s">
        <v>25</v>
      </c>
      <c r="B21" s="1">
        <v>5.8</v>
      </c>
      <c r="C21" s="1">
        <v>8.6</v>
      </c>
      <c r="D21" s="1">
        <v>5.2</v>
      </c>
      <c r="E21" s="1">
        <v>8.3000000000000007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3.1</v>
      </c>
      <c r="E24" s="1">
        <v>2.7</v>
      </c>
      <c r="F24" s="1">
        <v>0</v>
      </c>
      <c r="G24" s="1">
        <v>0</v>
      </c>
    </row>
    <row r="25" spans="1:7" x14ac:dyDescent="0.25">
      <c r="A25" s="1" t="s">
        <v>29</v>
      </c>
      <c r="B25" s="1">
        <v>7.8</v>
      </c>
      <c r="C25" s="1">
        <v>6.5</v>
      </c>
      <c r="D25" s="1">
        <v>3.9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2.2999999999999998</v>
      </c>
      <c r="C26" s="1">
        <v>3.5</v>
      </c>
      <c r="D26" s="1">
        <v>3</v>
      </c>
      <c r="E26" s="1">
        <v>7.3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31</v>
      </c>
      <c r="E29" s="3">
        <f t="shared" si="1"/>
        <v>27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77.227722772277232</v>
      </c>
      <c r="C30" s="3">
        <f t="shared" ref="C30:G30" si="2">C25/C28*100</f>
        <v>65</v>
      </c>
      <c r="D30" s="3">
        <f t="shared" si="2"/>
        <v>39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22.772277227722771</v>
      </c>
      <c r="C31" s="3">
        <f t="shared" ref="C31:G31" si="3">C26/C28*100</f>
        <v>35</v>
      </c>
      <c r="D31" s="3">
        <f t="shared" si="3"/>
        <v>30</v>
      </c>
      <c r="E31" s="3">
        <f t="shared" si="3"/>
        <v>73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5.2</v>
      </c>
      <c r="C33" s="3">
        <v>38.119999999999997</v>
      </c>
      <c r="D33" s="3">
        <v>-18.95</v>
      </c>
      <c r="E33" s="3">
        <v>50.77</v>
      </c>
      <c r="F33" s="3">
        <v>123.59</v>
      </c>
      <c r="G33" s="3">
        <v>100.73</v>
      </c>
    </row>
    <row r="35" spans="1:7" x14ac:dyDescent="0.25">
      <c r="A35" s="3" t="s">
        <v>36</v>
      </c>
      <c r="B35" s="3"/>
      <c r="C35" s="3"/>
      <c r="D35" s="3">
        <f>D33-C33</f>
        <v>-57.069999999999993</v>
      </c>
      <c r="E35" s="3"/>
      <c r="F35" s="3">
        <f>F33-E33</f>
        <v>72.819999999999993</v>
      </c>
      <c r="G3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D19F-99AF-41C3-B94D-0C07562565FA}">
  <dimension ref="A1:G35"/>
  <sheetViews>
    <sheetView topLeftCell="A10" workbookViewId="0">
      <selection activeCell="J33" sqref="J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465.38</v>
      </c>
      <c r="C2" s="1">
        <v>435.99</v>
      </c>
      <c r="D2" s="1">
        <v>454.08</v>
      </c>
      <c r="E2" s="1">
        <v>450.5</v>
      </c>
      <c r="F2" s="1">
        <v>501.26</v>
      </c>
      <c r="G2" s="1">
        <v>532.65</v>
      </c>
    </row>
    <row r="3" spans="1:7" x14ac:dyDescent="0.25">
      <c r="A3" s="1" t="s">
        <v>7</v>
      </c>
      <c r="B3" s="1">
        <v>38.36</v>
      </c>
      <c r="C3" s="1">
        <v>36.51</v>
      </c>
      <c r="D3" s="1">
        <v>38.64</v>
      </c>
      <c r="E3" s="1">
        <v>38.729999999999997</v>
      </c>
      <c r="F3" s="1">
        <v>42.41</v>
      </c>
      <c r="G3" s="1">
        <v>51.46</v>
      </c>
    </row>
    <row r="4" spans="1:7" x14ac:dyDescent="0.25">
      <c r="A4" s="1" t="s">
        <v>8</v>
      </c>
      <c r="B4" s="1">
        <v>18163.96</v>
      </c>
      <c r="C4" s="1">
        <v>16209.76</v>
      </c>
      <c r="D4" s="1">
        <v>17947.48</v>
      </c>
      <c r="E4" s="1">
        <v>17741.8</v>
      </c>
      <c r="F4" s="1">
        <v>21627.13</v>
      </c>
      <c r="G4" s="1">
        <v>27902.99</v>
      </c>
    </row>
    <row r="5" spans="1:7" x14ac:dyDescent="0.25">
      <c r="A5" s="1" t="s">
        <v>9</v>
      </c>
      <c r="B5" s="1">
        <v>1660.03</v>
      </c>
      <c r="C5" s="1">
        <v>1589.49</v>
      </c>
      <c r="D5" s="1">
        <v>1508.99</v>
      </c>
      <c r="E5" s="1">
        <v>1984.74</v>
      </c>
      <c r="F5" s="1">
        <v>2842.9</v>
      </c>
      <c r="G5" s="1">
        <v>1814.56</v>
      </c>
    </row>
    <row r="6" spans="1:7" x14ac:dyDescent="0.25">
      <c r="A6" s="3" t="s">
        <v>10</v>
      </c>
      <c r="B6" s="3">
        <v>166</v>
      </c>
      <c r="C6" s="3">
        <v>160.55000000000001</v>
      </c>
      <c r="D6" s="3">
        <v>152.41999999999999</v>
      </c>
      <c r="E6" s="3">
        <v>200.48</v>
      </c>
      <c r="F6" s="3">
        <v>287.16000000000003</v>
      </c>
      <c r="G6" s="3">
        <v>185.16</v>
      </c>
    </row>
    <row r="7" spans="1:7" x14ac:dyDescent="0.25">
      <c r="A7" s="1" t="s">
        <v>11</v>
      </c>
      <c r="B7" s="1">
        <v>1531.65</v>
      </c>
      <c r="C7" s="1">
        <v>1483.48</v>
      </c>
      <c r="D7" s="1">
        <v>1347.58</v>
      </c>
      <c r="E7" s="1">
        <v>1814.86</v>
      </c>
      <c r="F7" s="1">
        <v>2647.6</v>
      </c>
      <c r="G7" s="1">
        <v>1722.57</v>
      </c>
    </row>
    <row r="8" spans="1:7" x14ac:dyDescent="0.25">
      <c r="A8" s="1" t="s">
        <v>12</v>
      </c>
      <c r="B8" s="1">
        <v>153.16</v>
      </c>
      <c r="C8" s="1">
        <v>149.85</v>
      </c>
      <c r="D8" s="1">
        <v>136.12</v>
      </c>
      <c r="E8" s="1">
        <v>183.32</v>
      </c>
      <c r="F8" s="1">
        <v>267.43</v>
      </c>
      <c r="G8" s="1">
        <v>175.77</v>
      </c>
    </row>
    <row r="9" spans="1:7" x14ac:dyDescent="0.25">
      <c r="A9" s="1" t="s">
        <v>13</v>
      </c>
      <c r="B9" s="1">
        <v>1214.43</v>
      </c>
      <c r="C9" s="1">
        <v>1411.64</v>
      </c>
      <c r="D9" s="1">
        <v>-951.76</v>
      </c>
      <c r="E9" s="1">
        <v>1630.83</v>
      </c>
      <c r="F9" s="1">
        <v>2647.6</v>
      </c>
      <c r="G9" s="1">
        <v>1722.57</v>
      </c>
    </row>
    <row r="10" spans="1:7" x14ac:dyDescent="0.25">
      <c r="A10" s="1" t="s">
        <v>14</v>
      </c>
      <c r="B10" s="1">
        <v>121.44</v>
      </c>
      <c r="C10" s="1">
        <v>142.59</v>
      </c>
      <c r="D10" s="1">
        <v>-96.14</v>
      </c>
      <c r="E10" s="1">
        <v>164.73</v>
      </c>
      <c r="F10" s="1">
        <v>267.43</v>
      </c>
      <c r="G10" s="1">
        <v>175.77</v>
      </c>
    </row>
    <row r="11" spans="1:7" x14ac:dyDescent="0.25">
      <c r="A11" s="1" t="s">
        <v>15</v>
      </c>
      <c r="B11" s="1">
        <v>597.03</v>
      </c>
      <c r="C11" s="1">
        <v>1312.55</v>
      </c>
      <c r="D11" s="1">
        <v>698.76</v>
      </c>
      <c r="E11" s="1">
        <v>1453.82</v>
      </c>
      <c r="F11" s="1">
        <v>2599.04</v>
      </c>
      <c r="G11" s="1">
        <v>1585.12</v>
      </c>
    </row>
    <row r="12" spans="1:7" x14ac:dyDescent="0.25">
      <c r="A12" s="1" t="s">
        <v>16</v>
      </c>
      <c r="B12" s="1">
        <v>237.75</v>
      </c>
      <c r="C12" s="1">
        <v>224.8</v>
      </c>
      <c r="D12" s="1">
        <v>178.69</v>
      </c>
      <c r="E12" s="1">
        <v>234.8</v>
      </c>
      <c r="F12" s="1">
        <v>278.62</v>
      </c>
      <c r="G12" s="1">
        <v>268.85000000000002</v>
      </c>
    </row>
    <row r="13" spans="1:7" x14ac:dyDescent="0.25">
      <c r="A13" s="1" t="s">
        <v>17</v>
      </c>
      <c r="B13" s="1">
        <v>32.81</v>
      </c>
      <c r="C13" s="1">
        <v>29.84</v>
      </c>
      <c r="D13" s="1">
        <v>45.1</v>
      </c>
      <c r="E13" s="1">
        <v>38.14</v>
      </c>
      <c r="F13" s="1">
        <v>24.35</v>
      </c>
      <c r="G13" s="1">
        <v>25.82</v>
      </c>
    </row>
    <row r="14" spans="1:7" x14ac:dyDescent="0.25">
      <c r="A14" s="1" t="s">
        <v>18</v>
      </c>
      <c r="B14" s="1">
        <v>86.44</v>
      </c>
      <c r="C14" s="1">
        <v>81.53</v>
      </c>
      <c r="D14" s="1">
        <v>88.99</v>
      </c>
      <c r="E14" s="1">
        <v>80.41</v>
      </c>
      <c r="F14" s="1">
        <v>55.14</v>
      </c>
      <c r="G14" s="1">
        <v>63.24</v>
      </c>
    </row>
    <row r="15" spans="1:7" x14ac:dyDescent="0.25">
      <c r="A15" s="1" t="s">
        <v>19</v>
      </c>
      <c r="B15" s="1">
        <v>5</v>
      </c>
      <c r="C15" s="1">
        <v>5</v>
      </c>
      <c r="D15" s="1">
        <v>7</v>
      </c>
      <c r="E15" s="1">
        <v>7</v>
      </c>
      <c r="F15" s="1">
        <v>6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1373.04</v>
      </c>
      <c r="C17" s="1">
        <v>1447.56</v>
      </c>
      <c r="D17" s="1">
        <v>197.91</v>
      </c>
      <c r="E17" s="1">
        <v>1722.84</v>
      </c>
      <c r="F17" s="1">
        <v>2647.6</v>
      </c>
      <c r="G17" s="1">
        <v>1722.57</v>
      </c>
    </row>
    <row r="18" spans="1:7" x14ac:dyDescent="0.25">
      <c r="A18" s="1" t="s">
        <v>22</v>
      </c>
      <c r="B18" s="1">
        <v>158.61000000000001</v>
      </c>
      <c r="C18" s="1">
        <v>35.92</v>
      </c>
      <c r="D18" s="1">
        <v>1149.67</v>
      </c>
      <c r="E18" s="1">
        <v>92.02</v>
      </c>
      <c r="F18" s="1">
        <v>0</v>
      </c>
      <c r="G18" s="1">
        <v>0</v>
      </c>
    </row>
    <row r="19" spans="1:7" x14ac:dyDescent="0.25">
      <c r="A19" s="1" t="s">
        <v>23</v>
      </c>
      <c r="B19" s="1">
        <v>1</v>
      </c>
      <c r="C19" s="1">
        <v>0</v>
      </c>
      <c r="D19" s="1">
        <v>2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1.8</v>
      </c>
      <c r="C20" s="1">
        <v>0</v>
      </c>
      <c r="D20" s="1">
        <v>7.8</v>
      </c>
      <c r="E20" s="1">
        <v>1.8</v>
      </c>
      <c r="F20" s="1">
        <v>0</v>
      </c>
      <c r="G20" s="1">
        <v>0</v>
      </c>
    </row>
    <row r="21" spans="1:7" x14ac:dyDescent="0.25">
      <c r="A21" s="1" t="s">
        <v>25</v>
      </c>
      <c r="B21" s="1">
        <v>8.3000000000000007</v>
      </c>
      <c r="C21" s="1">
        <v>10</v>
      </c>
      <c r="D21" s="1">
        <v>2.2000000000000002</v>
      </c>
      <c r="E21" s="1">
        <v>8.1999999999999993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2.2000000000000002</v>
      </c>
      <c r="F23" s="1">
        <v>0</v>
      </c>
      <c r="G23" s="1">
        <v>0</v>
      </c>
    </row>
    <row r="24" spans="1:7" x14ac:dyDescent="0.25">
      <c r="A24" s="1" t="s">
        <v>28</v>
      </c>
      <c r="B24" s="1">
        <v>1.5</v>
      </c>
      <c r="C24" s="1">
        <v>0</v>
      </c>
      <c r="D24" s="1">
        <v>5.5</v>
      </c>
      <c r="E24" s="1">
        <v>2.1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8.6</v>
      </c>
      <c r="C26" s="1">
        <v>10</v>
      </c>
      <c r="D26" s="1">
        <v>4.5</v>
      </c>
      <c r="E26" s="1">
        <v>7.9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14.85148514851485</v>
      </c>
      <c r="C29" s="3">
        <f t="shared" ref="C29:G29" si="1">C24/C28*100</f>
        <v>0</v>
      </c>
      <c r="D29" s="3">
        <f t="shared" si="1"/>
        <v>55.000000000000007</v>
      </c>
      <c r="E29" s="3">
        <f t="shared" si="1"/>
        <v>21.000000000000004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85.148514851485146</v>
      </c>
      <c r="C31" s="3">
        <f t="shared" ref="C31:G31" si="3">C26/C28*100</f>
        <v>100</v>
      </c>
      <c r="D31" s="3">
        <f t="shared" si="3"/>
        <v>45</v>
      </c>
      <c r="E31" s="3">
        <f t="shared" si="3"/>
        <v>79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95.38</v>
      </c>
      <c r="C33" s="3">
        <v>153.06</v>
      </c>
      <c r="D33" s="3">
        <v>-91.21</v>
      </c>
      <c r="E33" s="3">
        <v>143.75</v>
      </c>
      <c r="F33" s="3">
        <v>285.08999999999997</v>
      </c>
      <c r="G33" s="3">
        <v>181.13</v>
      </c>
    </row>
    <row r="35" spans="1:7" x14ac:dyDescent="0.25">
      <c r="A35" s="3" t="s">
        <v>36</v>
      </c>
      <c r="B35" s="3"/>
      <c r="C35" s="3"/>
      <c r="D35" s="3">
        <f>D33-C33</f>
        <v>-244.26999999999998</v>
      </c>
      <c r="E35" s="3"/>
      <c r="F35" s="3">
        <f>F33-E33</f>
        <v>141.33999999999997</v>
      </c>
      <c r="G3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C76F-F23C-4118-969F-B0AE1925E653}">
  <dimension ref="A1:G35"/>
  <sheetViews>
    <sheetView topLeftCell="A10" workbookViewId="0">
      <selection activeCell="N33" sqref="N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336.32</v>
      </c>
      <c r="C2" s="1">
        <v>386.73</v>
      </c>
      <c r="D2" s="1">
        <v>360.25</v>
      </c>
      <c r="E2" s="1">
        <v>410.76</v>
      </c>
      <c r="F2" s="1">
        <v>440.12</v>
      </c>
      <c r="G2" s="1">
        <v>380.38</v>
      </c>
    </row>
    <row r="3" spans="1:7" x14ac:dyDescent="0.25">
      <c r="A3" s="1" t="s">
        <v>7</v>
      </c>
      <c r="B3" s="1">
        <v>35.409999999999997</v>
      </c>
      <c r="C3" s="1">
        <v>37.76</v>
      </c>
      <c r="D3" s="1">
        <v>35.85</v>
      </c>
      <c r="E3" s="1">
        <v>39.79</v>
      </c>
      <c r="F3" s="1">
        <v>42.37</v>
      </c>
      <c r="G3" s="1">
        <v>36.68</v>
      </c>
    </row>
    <row r="4" spans="1:7" x14ac:dyDescent="0.25">
      <c r="A4" s="1" t="s">
        <v>8</v>
      </c>
      <c r="B4" s="1">
        <v>12052.66</v>
      </c>
      <c r="C4" s="1">
        <v>14843.37</v>
      </c>
      <c r="D4" s="1">
        <v>13199.99</v>
      </c>
      <c r="E4" s="1">
        <v>16615.740000000002</v>
      </c>
      <c r="F4" s="1">
        <v>18962.28</v>
      </c>
      <c r="G4" s="1">
        <v>14209.16</v>
      </c>
    </row>
    <row r="5" spans="1:7" x14ac:dyDescent="0.25">
      <c r="A5" s="1" t="s">
        <v>9</v>
      </c>
      <c r="B5" s="1">
        <v>880.58</v>
      </c>
      <c r="C5" s="1">
        <v>363.25</v>
      </c>
      <c r="D5" s="1">
        <v>662.28</v>
      </c>
      <c r="E5" s="1">
        <v>2014.74</v>
      </c>
      <c r="F5" s="1">
        <v>2074.25</v>
      </c>
      <c r="G5" s="1">
        <v>1258.17</v>
      </c>
    </row>
    <row r="6" spans="1:7" x14ac:dyDescent="0.25">
      <c r="A6" s="3" t="s">
        <v>10</v>
      </c>
      <c r="B6" s="3">
        <v>88.06</v>
      </c>
      <c r="C6" s="3">
        <v>36.69</v>
      </c>
      <c r="D6" s="3">
        <v>66.900000000000006</v>
      </c>
      <c r="E6" s="3">
        <v>203.51</v>
      </c>
      <c r="F6" s="3">
        <v>209.52</v>
      </c>
      <c r="G6" s="3">
        <v>128.38</v>
      </c>
    </row>
    <row r="7" spans="1:7" x14ac:dyDescent="0.25">
      <c r="A7" s="1" t="s">
        <v>11</v>
      </c>
      <c r="B7" s="1">
        <v>801.99</v>
      </c>
      <c r="C7" s="1">
        <v>309.94</v>
      </c>
      <c r="D7" s="1">
        <v>603.36</v>
      </c>
      <c r="E7" s="1">
        <v>1815.89</v>
      </c>
      <c r="F7" s="1">
        <v>2004.56</v>
      </c>
      <c r="G7" s="1">
        <v>1198.02</v>
      </c>
    </row>
    <row r="8" spans="1:7" x14ac:dyDescent="0.25">
      <c r="A8" s="1" t="s">
        <v>12</v>
      </c>
      <c r="B8" s="1">
        <v>80.2</v>
      </c>
      <c r="C8" s="1">
        <v>31.31</v>
      </c>
      <c r="D8" s="1">
        <v>60.95</v>
      </c>
      <c r="E8" s="1">
        <v>183.42</v>
      </c>
      <c r="F8" s="1">
        <v>202.48</v>
      </c>
      <c r="G8" s="1">
        <v>122.25</v>
      </c>
    </row>
    <row r="9" spans="1:7" x14ac:dyDescent="0.25">
      <c r="A9" s="1" t="s">
        <v>13</v>
      </c>
      <c r="B9" s="1">
        <v>404.06</v>
      </c>
      <c r="C9" s="1">
        <v>151.81</v>
      </c>
      <c r="D9" s="1">
        <v>-352.59</v>
      </c>
      <c r="E9" s="1">
        <v>1815.89</v>
      </c>
      <c r="F9" s="1">
        <v>2004.56</v>
      </c>
      <c r="G9" s="1">
        <v>976.91</v>
      </c>
    </row>
    <row r="10" spans="1:7" x14ac:dyDescent="0.25">
      <c r="A10" s="1" t="s">
        <v>14</v>
      </c>
      <c r="B10" s="1">
        <v>40.409999999999997</v>
      </c>
      <c r="C10" s="1">
        <v>15.33</v>
      </c>
      <c r="D10" s="1">
        <v>-35.61</v>
      </c>
      <c r="E10" s="1">
        <v>183.42</v>
      </c>
      <c r="F10" s="1">
        <v>202.48</v>
      </c>
      <c r="G10" s="1">
        <v>99.68</v>
      </c>
    </row>
    <row r="11" spans="1:7" x14ac:dyDescent="0.25">
      <c r="A11" s="1" t="s">
        <v>15</v>
      </c>
      <c r="B11" s="1">
        <v>212.57</v>
      </c>
      <c r="C11" s="1">
        <v>96</v>
      </c>
      <c r="D11" s="1">
        <v>283.88</v>
      </c>
      <c r="E11" s="1">
        <v>1213.5999999999999</v>
      </c>
      <c r="F11" s="1">
        <v>1872.65</v>
      </c>
      <c r="G11" s="1">
        <v>670.84</v>
      </c>
    </row>
    <row r="12" spans="1:7" x14ac:dyDescent="0.25">
      <c r="A12" s="1" t="s">
        <v>16</v>
      </c>
      <c r="B12" s="1">
        <v>145.68</v>
      </c>
      <c r="C12" s="1">
        <v>160.88999999999999</v>
      </c>
      <c r="D12" s="1">
        <v>165.56</v>
      </c>
      <c r="E12" s="1">
        <v>213.39</v>
      </c>
      <c r="F12" s="1">
        <v>213.47</v>
      </c>
      <c r="G12" s="1">
        <v>208.82</v>
      </c>
    </row>
    <row r="13" spans="1:7" x14ac:dyDescent="0.25">
      <c r="A13" s="1" t="s">
        <v>17</v>
      </c>
      <c r="B13" s="1">
        <v>42.74</v>
      </c>
      <c r="C13" s="1">
        <v>43.97</v>
      </c>
      <c r="D13" s="1">
        <v>40.04</v>
      </c>
      <c r="E13" s="1">
        <v>36.369999999999997</v>
      </c>
      <c r="F13" s="1">
        <v>16.399999999999999</v>
      </c>
      <c r="G13" s="1">
        <v>27.56</v>
      </c>
    </row>
    <row r="14" spans="1:7" x14ac:dyDescent="0.25">
      <c r="A14" s="1" t="s">
        <v>18</v>
      </c>
      <c r="B14" s="1">
        <v>75.53</v>
      </c>
      <c r="C14" s="1">
        <v>77.22</v>
      </c>
      <c r="D14" s="1">
        <v>69.260000000000005</v>
      </c>
      <c r="E14" s="1">
        <v>87.26</v>
      </c>
      <c r="F14" s="1">
        <v>53.68</v>
      </c>
      <c r="G14" s="1">
        <v>60.66</v>
      </c>
    </row>
    <row r="15" spans="1:7" x14ac:dyDescent="0.25">
      <c r="A15" s="1" t="s">
        <v>19</v>
      </c>
      <c r="B15" s="1">
        <v>3</v>
      </c>
      <c r="C15" s="1">
        <v>2</v>
      </c>
      <c r="D15" s="1">
        <v>3</v>
      </c>
      <c r="E15" s="1">
        <v>7</v>
      </c>
      <c r="F15" s="1">
        <v>4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603.03</v>
      </c>
      <c r="C17" s="1">
        <v>230.87</v>
      </c>
      <c r="D17" s="1">
        <v>125.39</v>
      </c>
      <c r="E17" s="1">
        <v>1815.89</v>
      </c>
      <c r="F17" s="1">
        <v>2004.56</v>
      </c>
      <c r="G17" s="1">
        <v>1087.46</v>
      </c>
    </row>
    <row r="18" spans="1:7" x14ac:dyDescent="0.25">
      <c r="A18" s="1" t="s">
        <v>22</v>
      </c>
      <c r="B18" s="1">
        <v>198.96</v>
      </c>
      <c r="C18" s="1">
        <v>79.069999999999993</v>
      </c>
      <c r="D18" s="1">
        <v>477.97</v>
      </c>
      <c r="E18" s="1">
        <v>0</v>
      </c>
      <c r="F18" s="1">
        <v>0</v>
      </c>
      <c r="G18" s="1">
        <v>110.56</v>
      </c>
    </row>
    <row r="19" spans="1:7" x14ac:dyDescent="0.25">
      <c r="A19" s="1" t="s">
        <v>23</v>
      </c>
      <c r="B19" s="1">
        <v>1</v>
      </c>
      <c r="C19" s="1">
        <v>1</v>
      </c>
      <c r="D19" s="1">
        <v>4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2.1</v>
      </c>
      <c r="C20" s="1">
        <v>1.6</v>
      </c>
      <c r="D20" s="1">
        <v>6.7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8</v>
      </c>
      <c r="C21" s="1">
        <v>8.4</v>
      </c>
      <c r="D21" s="1">
        <v>3.3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2.9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2.5</v>
      </c>
      <c r="C24" s="1">
        <v>0</v>
      </c>
      <c r="D24" s="1">
        <v>3.6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1.2</v>
      </c>
      <c r="C25" s="1">
        <v>9</v>
      </c>
      <c r="D25" s="1">
        <v>6.4</v>
      </c>
      <c r="E25" s="1">
        <v>1.5</v>
      </c>
      <c r="F25" s="1">
        <v>0</v>
      </c>
      <c r="G25" s="1">
        <v>0</v>
      </c>
    </row>
    <row r="26" spans="1:7" x14ac:dyDescent="0.25">
      <c r="A26" s="1" t="s">
        <v>30</v>
      </c>
      <c r="B26" s="1">
        <v>6.4</v>
      </c>
      <c r="C26" s="1">
        <v>1</v>
      </c>
      <c r="D26" s="1">
        <v>0</v>
      </c>
      <c r="E26" s="1">
        <v>8.5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24.75247524752475</v>
      </c>
      <c r="C29" s="3">
        <f t="shared" ref="C29:G29" si="1">C24/C28*100</f>
        <v>0</v>
      </c>
      <c r="D29" s="3">
        <f t="shared" si="1"/>
        <v>36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11.881188118811879</v>
      </c>
      <c r="C30" s="3">
        <f t="shared" ref="C30:G30" si="2">C25/C28*100</f>
        <v>90</v>
      </c>
      <c r="D30" s="3">
        <f t="shared" si="2"/>
        <v>64</v>
      </c>
      <c r="E30" s="3">
        <f t="shared" si="2"/>
        <v>15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63.366336633663359</v>
      </c>
      <c r="C31" s="3">
        <f t="shared" ref="C31:G31" si="3">C26/C28*100</f>
        <v>10</v>
      </c>
      <c r="D31" s="3">
        <f t="shared" si="3"/>
        <v>0</v>
      </c>
      <c r="E31" s="3">
        <f t="shared" si="3"/>
        <v>85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14.85</v>
      </c>
      <c r="C33" s="3">
        <v>17.46</v>
      </c>
      <c r="D33" s="3">
        <v>-37.68</v>
      </c>
      <c r="E33" s="3">
        <v>189.67151000000001</v>
      </c>
      <c r="F33" s="3">
        <v>207.17</v>
      </c>
      <c r="G33" s="3">
        <v>89.57</v>
      </c>
    </row>
    <row r="35" spans="1:7" x14ac:dyDescent="0.25">
      <c r="A35" s="3" t="s">
        <v>36</v>
      </c>
      <c r="B35" s="3"/>
      <c r="C35" s="3"/>
      <c r="D35" s="3">
        <f>D33-C33</f>
        <v>-55.14</v>
      </c>
      <c r="E35" s="3"/>
      <c r="F35" s="3">
        <f>F33-E33</f>
        <v>17.498489999999975</v>
      </c>
      <c r="G3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E6C1-3A83-4C06-99DA-2E033385F9F3}">
  <dimension ref="A1:G35"/>
  <sheetViews>
    <sheetView topLeftCell="A10" workbookViewId="0">
      <selection activeCell="M27" sqref="M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468.11</v>
      </c>
      <c r="C2" s="1">
        <v>469.5</v>
      </c>
      <c r="D2" s="1">
        <v>414.19</v>
      </c>
      <c r="E2" s="1">
        <v>415.59</v>
      </c>
      <c r="F2" s="1">
        <v>451.89</v>
      </c>
      <c r="G2" s="1">
        <v>405.62</v>
      </c>
    </row>
    <row r="3" spans="1:7" x14ac:dyDescent="0.25">
      <c r="A3" s="1" t="s">
        <v>7</v>
      </c>
      <c r="B3" s="1">
        <v>36.979999999999997</v>
      </c>
      <c r="C3" s="1">
        <v>36.64</v>
      </c>
      <c r="D3" s="1">
        <v>37.17</v>
      </c>
      <c r="E3" s="1">
        <v>36.99</v>
      </c>
      <c r="F3" s="1">
        <v>42.08</v>
      </c>
      <c r="G3" s="1">
        <v>37.54</v>
      </c>
    </row>
    <row r="4" spans="1:7" x14ac:dyDescent="0.25">
      <c r="A4" s="1" t="s">
        <v>8</v>
      </c>
      <c r="B4" s="1">
        <v>17603.900000000001</v>
      </c>
      <c r="C4" s="1">
        <v>17496.95</v>
      </c>
      <c r="D4" s="1">
        <v>15676.4</v>
      </c>
      <c r="E4" s="1">
        <v>15773</v>
      </c>
      <c r="F4" s="1">
        <v>19355.53</v>
      </c>
      <c r="G4" s="1">
        <v>15580.9</v>
      </c>
    </row>
    <row r="5" spans="1:7" x14ac:dyDescent="0.25">
      <c r="A5" s="1" t="s">
        <v>9</v>
      </c>
      <c r="B5" s="1">
        <v>154.31</v>
      </c>
      <c r="C5" s="1">
        <v>108.53</v>
      </c>
      <c r="D5" s="1">
        <v>794.87</v>
      </c>
      <c r="E5" s="1">
        <v>880.04</v>
      </c>
      <c r="F5" s="1">
        <v>1383.24</v>
      </c>
      <c r="G5" s="1">
        <v>1269.1400000000001</v>
      </c>
    </row>
    <row r="6" spans="1:7" x14ac:dyDescent="0.25">
      <c r="A6" s="3" t="s">
        <v>10</v>
      </c>
      <c r="B6" s="3">
        <v>15.43</v>
      </c>
      <c r="C6" s="3">
        <v>10.96</v>
      </c>
      <c r="D6" s="3">
        <v>80.290000000000006</v>
      </c>
      <c r="E6" s="3">
        <v>88.89</v>
      </c>
      <c r="F6" s="3">
        <v>139.72</v>
      </c>
      <c r="G6" s="3">
        <v>129.5</v>
      </c>
    </row>
    <row r="7" spans="1:7" x14ac:dyDescent="0.25">
      <c r="A7" s="1" t="s">
        <v>11</v>
      </c>
      <c r="B7" s="1">
        <v>142.41999999999999</v>
      </c>
      <c r="C7" s="1">
        <v>98.66</v>
      </c>
      <c r="D7" s="1">
        <v>722.99</v>
      </c>
      <c r="E7" s="1">
        <v>842.69</v>
      </c>
      <c r="F7" s="1">
        <v>1287.23</v>
      </c>
      <c r="G7" s="1">
        <v>1178.07</v>
      </c>
    </row>
    <row r="8" spans="1:7" x14ac:dyDescent="0.25">
      <c r="A8" s="1" t="s">
        <v>12</v>
      </c>
      <c r="B8" s="1">
        <v>14.24</v>
      </c>
      <c r="C8" s="1">
        <v>9.9700000000000006</v>
      </c>
      <c r="D8" s="1">
        <v>73.03</v>
      </c>
      <c r="E8" s="1">
        <v>85.12</v>
      </c>
      <c r="F8" s="1">
        <v>130.02000000000001</v>
      </c>
      <c r="G8" s="1">
        <v>120.21</v>
      </c>
    </row>
    <row r="9" spans="1:7" x14ac:dyDescent="0.25">
      <c r="A9" s="1" t="s">
        <v>13</v>
      </c>
      <c r="B9" s="1">
        <v>-23.41</v>
      </c>
      <c r="C9" s="1">
        <v>-14.65</v>
      </c>
      <c r="D9" s="1">
        <v>-620.57000000000005</v>
      </c>
      <c r="E9" s="1">
        <v>507.73</v>
      </c>
      <c r="F9" s="1">
        <v>1147.8</v>
      </c>
      <c r="G9" s="1">
        <v>-510.66</v>
      </c>
    </row>
    <row r="10" spans="1:7" x14ac:dyDescent="0.25">
      <c r="A10" s="1" t="s">
        <v>14</v>
      </c>
      <c r="B10" s="1">
        <v>-2.34</v>
      </c>
      <c r="C10" s="1">
        <v>-1.48</v>
      </c>
      <c r="D10" s="1">
        <v>-62.68</v>
      </c>
      <c r="E10" s="1">
        <v>51.29</v>
      </c>
      <c r="F10" s="1">
        <v>115.94</v>
      </c>
      <c r="G10" s="1">
        <v>-52.11</v>
      </c>
    </row>
    <row r="11" spans="1:7" x14ac:dyDescent="0.25">
      <c r="A11" s="1" t="s">
        <v>15</v>
      </c>
      <c r="B11" s="1">
        <v>6.82</v>
      </c>
      <c r="C11" s="1">
        <v>1.7</v>
      </c>
      <c r="D11" s="1">
        <v>315.16000000000003</v>
      </c>
      <c r="E11" s="1">
        <v>336.43</v>
      </c>
      <c r="F11" s="1">
        <v>892.9</v>
      </c>
      <c r="G11" s="1">
        <v>115.1</v>
      </c>
    </row>
    <row r="12" spans="1:7" x14ac:dyDescent="0.25">
      <c r="A12" s="1" t="s">
        <v>16</v>
      </c>
      <c r="B12" s="1">
        <v>231.49</v>
      </c>
      <c r="C12" s="1">
        <v>229.18</v>
      </c>
      <c r="D12" s="1">
        <v>213.19</v>
      </c>
      <c r="E12" s="1">
        <v>184.51</v>
      </c>
      <c r="F12" s="1">
        <v>216.48</v>
      </c>
      <c r="G12" s="1">
        <v>207.23</v>
      </c>
    </row>
    <row r="13" spans="1:7" x14ac:dyDescent="0.25">
      <c r="A13" s="1" t="s">
        <v>17</v>
      </c>
      <c r="B13" s="1">
        <v>17.03</v>
      </c>
      <c r="C13" s="1">
        <v>17.510000000000002</v>
      </c>
      <c r="D13" s="1">
        <v>28.66</v>
      </c>
      <c r="E13" s="1">
        <v>25.76</v>
      </c>
      <c r="F13" s="1">
        <v>31.69</v>
      </c>
      <c r="G13" s="1">
        <v>29.7</v>
      </c>
    </row>
    <row r="14" spans="1:7" x14ac:dyDescent="0.25">
      <c r="A14" s="1" t="s">
        <v>18</v>
      </c>
      <c r="B14" s="1">
        <v>22.81</v>
      </c>
      <c r="C14" s="1">
        <v>21.43</v>
      </c>
      <c r="D14" s="1">
        <v>68.650000000000006</v>
      </c>
      <c r="E14" s="1">
        <v>71.599999999999994</v>
      </c>
      <c r="F14" s="1">
        <v>81.260000000000005</v>
      </c>
      <c r="G14" s="1">
        <v>68.95</v>
      </c>
    </row>
    <row r="15" spans="1:7" x14ac:dyDescent="0.25">
      <c r="A15" s="1" t="s">
        <v>19</v>
      </c>
      <c r="B15" s="1">
        <v>3</v>
      </c>
      <c r="C15" s="1">
        <v>2</v>
      </c>
      <c r="D15" s="1">
        <v>4</v>
      </c>
      <c r="E15" s="1">
        <v>3</v>
      </c>
      <c r="F15" s="1">
        <v>5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59.51</v>
      </c>
      <c r="C17" s="1">
        <v>42.01</v>
      </c>
      <c r="D17" s="1">
        <v>51.21</v>
      </c>
      <c r="E17" s="1">
        <v>675.21</v>
      </c>
      <c r="F17" s="1">
        <v>1217.51</v>
      </c>
      <c r="G17" s="1">
        <v>333.71</v>
      </c>
    </row>
    <row r="18" spans="1:7" x14ac:dyDescent="0.25">
      <c r="A18" s="1" t="s">
        <v>22</v>
      </c>
      <c r="B18" s="1">
        <v>82.91</v>
      </c>
      <c r="C18" s="1">
        <v>56.65</v>
      </c>
      <c r="D18" s="1">
        <v>671.78</v>
      </c>
      <c r="E18" s="1">
        <v>167.48</v>
      </c>
      <c r="F18" s="1">
        <v>69.709999999999994</v>
      </c>
      <c r="G18" s="1">
        <v>844.36</v>
      </c>
    </row>
    <row r="19" spans="1:7" x14ac:dyDescent="0.25">
      <c r="A19" s="1" t="s">
        <v>23</v>
      </c>
      <c r="B19" s="1">
        <v>1</v>
      </c>
      <c r="C19" s="1">
        <v>0</v>
      </c>
      <c r="D19" s="1">
        <v>3</v>
      </c>
      <c r="E19" s="1">
        <v>1</v>
      </c>
      <c r="F19" s="1">
        <v>0</v>
      </c>
      <c r="G19" s="1">
        <v>2</v>
      </c>
    </row>
    <row r="20" spans="1:7" x14ac:dyDescent="0.25">
      <c r="A20" s="1" t="s">
        <v>24</v>
      </c>
      <c r="B20" s="1">
        <v>1.1000000000000001</v>
      </c>
      <c r="C20" s="1">
        <v>0</v>
      </c>
      <c r="D20" s="1">
        <v>9.1</v>
      </c>
      <c r="E20" s="1">
        <v>1.2</v>
      </c>
      <c r="F20" s="1">
        <v>0</v>
      </c>
      <c r="G20" s="1">
        <v>4.8</v>
      </c>
    </row>
    <row r="21" spans="1:7" x14ac:dyDescent="0.25">
      <c r="A21" s="1" t="s">
        <v>25</v>
      </c>
      <c r="B21" s="1">
        <v>9</v>
      </c>
      <c r="C21" s="1">
        <v>10</v>
      </c>
      <c r="D21" s="1">
        <v>0.9</v>
      </c>
      <c r="E21" s="1">
        <v>8.8000000000000007</v>
      </c>
      <c r="F21" s="1">
        <v>10</v>
      </c>
      <c r="G21" s="1">
        <v>5.0999999999999996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5.6</v>
      </c>
      <c r="E24" s="1">
        <v>0</v>
      </c>
      <c r="F24" s="1">
        <v>1</v>
      </c>
      <c r="G24" s="1">
        <v>5.7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4.4000000000000004</v>
      </c>
      <c r="E25" s="1">
        <v>4.5999999999999996</v>
      </c>
      <c r="F25" s="1">
        <v>0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5.4</v>
      </c>
      <c r="F26" s="1">
        <v>9</v>
      </c>
      <c r="G26" s="1">
        <v>4.2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55.999999999999993</v>
      </c>
      <c r="E29" s="3">
        <f t="shared" si="1"/>
        <v>0</v>
      </c>
      <c r="F29" s="3">
        <f t="shared" si="1"/>
        <v>10</v>
      </c>
      <c r="G29" s="3">
        <f t="shared" si="1"/>
        <v>57.575757575757578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44.000000000000007</v>
      </c>
      <c r="E30" s="3">
        <f t="shared" si="2"/>
        <v>46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54</v>
      </c>
      <c r="F31" s="3">
        <f t="shared" si="3"/>
        <v>90</v>
      </c>
      <c r="G31" s="3">
        <f t="shared" si="3"/>
        <v>42.424242424242422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-0.39</v>
      </c>
      <c r="C33" s="3">
        <v>0.13</v>
      </c>
      <c r="D33" s="3">
        <v>-56.7</v>
      </c>
      <c r="E33" s="3">
        <v>41.68</v>
      </c>
      <c r="F33" s="3">
        <v>103.38</v>
      </c>
      <c r="G33" s="3">
        <v>-10</v>
      </c>
    </row>
    <row r="35" spans="1:7" x14ac:dyDescent="0.25">
      <c r="A35" s="3" t="s">
        <v>36</v>
      </c>
      <c r="B35" s="3"/>
      <c r="C35" s="3"/>
      <c r="D35" s="3">
        <f>D33-C33</f>
        <v>-56.830000000000005</v>
      </c>
      <c r="E35" s="3"/>
      <c r="F35" s="3">
        <f>F33-E33</f>
        <v>61.699999999999996</v>
      </c>
      <c r="G3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D939-2228-422E-A312-BDBBD7F1DEB0}">
  <dimension ref="A1:G35"/>
  <sheetViews>
    <sheetView workbookViewId="0">
      <selection activeCell="J25" sqref="J2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429.35</v>
      </c>
      <c r="C2" s="1">
        <v>403.98</v>
      </c>
      <c r="D2" s="1">
        <v>477.48</v>
      </c>
      <c r="E2" s="1">
        <v>509.86</v>
      </c>
      <c r="F2" s="1">
        <v>532.26</v>
      </c>
      <c r="G2" s="1">
        <v>506.08</v>
      </c>
    </row>
    <row r="3" spans="1:7" x14ac:dyDescent="0.25">
      <c r="A3" s="1" t="s">
        <v>7</v>
      </c>
      <c r="B3" s="1">
        <v>41.58</v>
      </c>
      <c r="C3" s="1">
        <v>36.659999999999997</v>
      </c>
      <c r="D3" s="1">
        <v>40.880000000000003</v>
      </c>
      <c r="E3" s="1">
        <v>44.41</v>
      </c>
      <c r="F3" s="1">
        <v>47.03</v>
      </c>
      <c r="G3" s="1">
        <v>50.86</v>
      </c>
    </row>
    <row r="4" spans="1:7" x14ac:dyDescent="0.25">
      <c r="A4" s="1" t="s">
        <v>8</v>
      </c>
      <c r="B4" s="1">
        <v>18240.560000000001</v>
      </c>
      <c r="C4" s="1">
        <v>15093.17</v>
      </c>
      <c r="D4" s="1">
        <v>19948.02</v>
      </c>
      <c r="E4" s="1">
        <v>23098.36</v>
      </c>
      <c r="F4" s="1">
        <v>25462.47</v>
      </c>
      <c r="G4" s="1">
        <v>26162.880000000001</v>
      </c>
    </row>
    <row r="5" spans="1:7" x14ac:dyDescent="0.25">
      <c r="A5" s="1" t="s">
        <v>9</v>
      </c>
      <c r="B5" s="1">
        <v>1473.24</v>
      </c>
      <c r="C5" s="1">
        <v>1904.43</v>
      </c>
      <c r="D5" s="1">
        <v>2811.87</v>
      </c>
      <c r="E5" s="1">
        <v>3270.5</v>
      </c>
      <c r="F5" s="1">
        <v>3046.8</v>
      </c>
      <c r="G5" s="1">
        <v>2132.25</v>
      </c>
    </row>
    <row r="6" spans="1:7" x14ac:dyDescent="0.25">
      <c r="A6" s="3" t="s">
        <v>10</v>
      </c>
      <c r="B6" s="3">
        <v>147.32</v>
      </c>
      <c r="C6" s="3">
        <v>192.37</v>
      </c>
      <c r="D6" s="3">
        <v>284.02999999999997</v>
      </c>
      <c r="E6" s="3">
        <v>330.35</v>
      </c>
      <c r="F6" s="3">
        <v>307.76</v>
      </c>
      <c r="G6" s="3">
        <v>217.58</v>
      </c>
    </row>
    <row r="7" spans="1:7" x14ac:dyDescent="0.25">
      <c r="A7" s="1" t="s">
        <v>11</v>
      </c>
      <c r="B7" s="1">
        <v>1309.75</v>
      </c>
      <c r="C7" s="1">
        <v>1696.81</v>
      </c>
      <c r="D7" s="1">
        <v>2458.2199999999998</v>
      </c>
      <c r="E7" s="1">
        <v>3058.57</v>
      </c>
      <c r="F7" s="1">
        <v>2885.65</v>
      </c>
      <c r="G7" s="1">
        <v>2013.49</v>
      </c>
    </row>
    <row r="8" spans="1:7" x14ac:dyDescent="0.25">
      <c r="A8" s="1" t="s">
        <v>12</v>
      </c>
      <c r="B8" s="1">
        <v>130.97999999999999</v>
      </c>
      <c r="C8" s="1">
        <v>171.4</v>
      </c>
      <c r="D8" s="1">
        <v>248.31</v>
      </c>
      <c r="E8" s="1">
        <v>308.95</v>
      </c>
      <c r="F8" s="1">
        <v>291.48</v>
      </c>
      <c r="G8" s="1">
        <v>205.46</v>
      </c>
    </row>
    <row r="9" spans="1:7" x14ac:dyDescent="0.25">
      <c r="A9" s="1" t="s">
        <v>13</v>
      </c>
      <c r="B9" s="1">
        <v>867.61</v>
      </c>
      <c r="C9" s="1">
        <v>1619.22</v>
      </c>
      <c r="D9" s="1">
        <v>2458.2199999999998</v>
      </c>
      <c r="E9" s="1">
        <v>3004.1</v>
      </c>
      <c r="F9" s="1">
        <v>2885.65</v>
      </c>
      <c r="G9" s="1">
        <v>1392.74</v>
      </c>
    </row>
    <row r="10" spans="1:7" x14ac:dyDescent="0.25">
      <c r="A10" s="1" t="s">
        <v>14</v>
      </c>
      <c r="B10" s="1">
        <v>86.76</v>
      </c>
      <c r="C10" s="1">
        <v>163.56</v>
      </c>
      <c r="D10" s="1">
        <v>248.31</v>
      </c>
      <c r="E10" s="1">
        <v>303.44</v>
      </c>
      <c r="F10" s="1">
        <v>291.48</v>
      </c>
      <c r="G10" s="1">
        <v>142.12</v>
      </c>
    </row>
    <row r="11" spans="1:7" x14ac:dyDescent="0.25">
      <c r="A11" s="1" t="s">
        <v>15</v>
      </c>
      <c r="B11" s="1">
        <v>825.22</v>
      </c>
      <c r="C11" s="1">
        <v>1453.02</v>
      </c>
      <c r="D11" s="1">
        <v>2450.56</v>
      </c>
      <c r="E11" s="1">
        <v>2859.93</v>
      </c>
      <c r="F11" s="1">
        <v>2791.09</v>
      </c>
      <c r="G11" s="1">
        <v>948.66</v>
      </c>
    </row>
    <row r="12" spans="1:7" x14ac:dyDescent="0.25">
      <c r="A12" s="1" t="s">
        <v>16</v>
      </c>
      <c r="B12" s="1">
        <v>206.6</v>
      </c>
      <c r="C12" s="1">
        <v>234.93</v>
      </c>
      <c r="D12" s="1">
        <v>264.61</v>
      </c>
      <c r="E12" s="1">
        <v>263.44</v>
      </c>
      <c r="F12" s="1">
        <v>270.86</v>
      </c>
      <c r="G12" s="1">
        <v>239.76</v>
      </c>
    </row>
    <row r="13" spans="1:7" x14ac:dyDescent="0.25">
      <c r="A13" s="1" t="s">
        <v>17</v>
      </c>
      <c r="B13" s="1">
        <v>29.45</v>
      </c>
      <c r="C13" s="1">
        <v>25.48</v>
      </c>
      <c r="D13" s="1">
        <v>30.38</v>
      </c>
      <c r="E13" s="1">
        <v>35.81</v>
      </c>
      <c r="F13" s="1">
        <v>27.92</v>
      </c>
      <c r="G13" s="1">
        <v>34.799999999999997</v>
      </c>
    </row>
    <row r="14" spans="1:7" x14ac:dyDescent="0.25">
      <c r="A14" s="1" t="s">
        <v>18</v>
      </c>
      <c r="B14" s="1">
        <v>77.17</v>
      </c>
      <c r="C14" s="1">
        <v>71.099999999999994</v>
      </c>
      <c r="D14" s="1">
        <v>79.11</v>
      </c>
      <c r="E14" s="1">
        <v>75.84</v>
      </c>
      <c r="F14" s="1">
        <v>77.55</v>
      </c>
      <c r="G14" s="1">
        <v>91.33</v>
      </c>
    </row>
    <row r="15" spans="1:7" x14ac:dyDescent="0.25">
      <c r="A15" s="1" t="s">
        <v>19</v>
      </c>
      <c r="B15" s="1">
        <v>6</v>
      </c>
      <c r="C15" s="1">
        <v>7</v>
      </c>
      <c r="D15" s="1">
        <v>6</v>
      </c>
      <c r="E15" s="1">
        <v>5</v>
      </c>
      <c r="F15" s="1">
        <v>5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1088.68</v>
      </c>
      <c r="C17" s="1">
        <v>1658.02</v>
      </c>
      <c r="D17" s="1">
        <v>2458.2199999999998</v>
      </c>
      <c r="E17" s="1">
        <v>3031.34</v>
      </c>
      <c r="F17" s="1">
        <v>2885.65</v>
      </c>
      <c r="G17" s="1">
        <v>1703.11</v>
      </c>
    </row>
    <row r="18" spans="1:7" x14ac:dyDescent="0.25">
      <c r="A18" s="1" t="s">
        <v>22</v>
      </c>
      <c r="B18" s="1">
        <v>221.07</v>
      </c>
      <c r="C18" s="1">
        <v>38.799999999999997</v>
      </c>
      <c r="D18" s="1">
        <v>0</v>
      </c>
      <c r="E18" s="1">
        <v>27.23</v>
      </c>
      <c r="F18" s="1">
        <v>0</v>
      </c>
      <c r="G18" s="1">
        <v>310.37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2</v>
      </c>
    </row>
    <row r="20" spans="1:7" x14ac:dyDescent="0.25">
      <c r="A20" s="1" t="s">
        <v>24</v>
      </c>
      <c r="B20" s="1">
        <v>1.8</v>
      </c>
      <c r="C20" s="1">
        <v>0</v>
      </c>
      <c r="D20" s="1">
        <v>0</v>
      </c>
      <c r="E20" s="1">
        <v>0</v>
      </c>
      <c r="F20" s="1">
        <v>0</v>
      </c>
      <c r="G20" s="1">
        <v>2.8</v>
      </c>
    </row>
    <row r="21" spans="1:7" x14ac:dyDescent="0.25">
      <c r="A21" s="1" t="s">
        <v>25</v>
      </c>
      <c r="B21" s="1">
        <v>8.3000000000000007</v>
      </c>
      <c r="C21" s="1">
        <v>10</v>
      </c>
      <c r="D21" s="1">
        <v>10</v>
      </c>
      <c r="E21" s="1">
        <v>10</v>
      </c>
      <c r="F21" s="1">
        <v>10</v>
      </c>
      <c r="G21" s="1">
        <v>7.1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1.6</v>
      </c>
      <c r="C24" s="1">
        <v>0</v>
      </c>
      <c r="D24" s="1">
        <v>0</v>
      </c>
      <c r="E24" s="1">
        <v>1.1000000000000001</v>
      </c>
      <c r="F24" s="1">
        <v>0</v>
      </c>
      <c r="G24" s="1">
        <v>3</v>
      </c>
    </row>
    <row r="25" spans="1:7" x14ac:dyDescent="0.25">
      <c r="A25" s="1" t="s">
        <v>29</v>
      </c>
      <c r="B25" s="1">
        <v>1.6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6.9</v>
      </c>
      <c r="C26" s="1">
        <v>10</v>
      </c>
      <c r="D26" s="1">
        <v>10</v>
      </c>
      <c r="E26" s="1">
        <v>8.9</v>
      </c>
      <c r="F26" s="1">
        <v>10</v>
      </c>
      <c r="G26" s="1">
        <v>6.9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15.84158415841584</v>
      </c>
      <c r="C29" s="3">
        <f t="shared" ref="C29:G29" si="1">C24/C28*100</f>
        <v>0</v>
      </c>
      <c r="D29" s="3">
        <f t="shared" si="1"/>
        <v>0</v>
      </c>
      <c r="E29" s="3">
        <f t="shared" si="1"/>
        <v>11.000000000000002</v>
      </c>
      <c r="F29" s="3">
        <f t="shared" si="1"/>
        <v>0</v>
      </c>
      <c r="G29" s="3">
        <f t="shared" si="1"/>
        <v>30.303030303030305</v>
      </c>
    </row>
    <row r="30" spans="1:7" x14ac:dyDescent="0.25">
      <c r="A30" s="3" t="s">
        <v>33</v>
      </c>
      <c r="B30" s="3">
        <f>B25/B28*100</f>
        <v>15.84158415841584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68.316831683168317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89</v>
      </c>
      <c r="F31" s="3">
        <f t="shared" si="3"/>
        <v>100</v>
      </c>
      <c r="G31" s="3">
        <f t="shared" si="3"/>
        <v>69.696969696969703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62.67</v>
      </c>
      <c r="C33" s="3">
        <v>185.28892999999999</v>
      </c>
      <c r="D33" s="3">
        <v>276.52999999999997</v>
      </c>
      <c r="E33" s="3">
        <v>312.77</v>
      </c>
      <c r="F33" s="3">
        <v>304.12</v>
      </c>
      <c r="G33" s="3">
        <v>101.3</v>
      </c>
    </row>
    <row r="35" spans="1:7" x14ac:dyDescent="0.25">
      <c r="A35" s="3" t="s">
        <v>36</v>
      </c>
      <c r="B35" s="3"/>
      <c r="C35" s="3"/>
      <c r="D35" s="3">
        <f>D33-C33</f>
        <v>91.241069999999979</v>
      </c>
      <c r="E35" s="3"/>
      <c r="F35" s="3">
        <f>F33-E33</f>
        <v>-8.6499999999999773</v>
      </c>
      <c r="G3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9563-6A67-44D2-B0A8-0ECC801EDC0D}">
  <dimension ref="A1:G35"/>
  <sheetViews>
    <sheetView topLeftCell="A10" workbookViewId="0">
      <selection activeCell="K24" sqref="K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491.39</v>
      </c>
      <c r="C2" s="1">
        <v>409.44</v>
      </c>
      <c r="D2" s="1">
        <v>441.39</v>
      </c>
      <c r="E2" s="1">
        <v>482.72</v>
      </c>
      <c r="F2" s="1">
        <v>487.76</v>
      </c>
      <c r="G2" s="1">
        <v>461.3</v>
      </c>
    </row>
    <row r="3" spans="1:7" x14ac:dyDescent="0.25">
      <c r="A3" s="1" t="s">
        <v>7</v>
      </c>
      <c r="B3" s="1">
        <v>43.69</v>
      </c>
      <c r="C3" s="1">
        <v>38.28</v>
      </c>
      <c r="D3" s="1">
        <v>43.09</v>
      </c>
      <c r="E3" s="1">
        <v>46.65</v>
      </c>
      <c r="F3" s="1">
        <v>50.38</v>
      </c>
      <c r="G3" s="1">
        <v>49.36</v>
      </c>
    </row>
    <row r="4" spans="1:7" x14ac:dyDescent="0.25">
      <c r="A4" s="1" t="s">
        <v>8</v>
      </c>
      <c r="B4" s="1">
        <v>21824.71</v>
      </c>
      <c r="C4" s="1">
        <v>16125.47</v>
      </c>
      <c r="D4" s="1">
        <v>19399.59</v>
      </c>
      <c r="E4" s="1">
        <v>22921.43</v>
      </c>
      <c r="F4" s="1">
        <v>25060.74</v>
      </c>
      <c r="G4" s="1">
        <v>23185.279999999999</v>
      </c>
    </row>
    <row r="5" spans="1:7" x14ac:dyDescent="0.25">
      <c r="A5" s="1" t="s">
        <v>9</v>
      </c>
      <c r="B5" s="1">
        <v>2301.2800000000002</v>
      </c>
      <c r="C5" s="1">
        <v>2273.61</v>
      </c>
      <c r="D5" s="1">
        <v>2051.52</v>
      </c>
      <c r="E5" s="1">
        <v>3033.15</v>
      </c>
      <c r="F5" s="1">
        <v>2854.27</v>
      </c>
      <c r="G5" s="1">
        <v>1956.32</v>
      </c>
    </row>
    <row r="6" spans="1:7" x14ac:dyDescent="0.25">
      <c r="A6" s="3" t="s">
        <v>10</v>
      </c>
      <c r="B6" s="3">
        <v>230.13</v>
      </c>
      <c r="C6" s="3">
        <v>229.66</v>
      </c>
      <c r="D6" s="3">
        <v>207.22</v>
      </c>
      <c r="E6" s="3">
        <v>306.38</v>
      </c>
      <c r="F6" s="3">
        <v>288.31</v>
      </c>
      <c r="G6" s="3">
        <v>199.62</v>
      </c>
    </row>
    <row r="7" spans="1:7" x14ac:dyDescent="0.25">
      <c r="A7" s="1" t="s">
        <v>11</v>
      </c>
      <c r="B7" s="1">
        <v>2151.77</v>
      </c>
      <c r="C7" s="1">
        <v>2157.29</v>
      </c>
      <c r="D7" s="1">
        <v>1905.24</v>
      </c>
      <c r="E7" s="1">
        <v>2809.31</v>
      </c>
      <c r="F7" s="1">
        <v>2725.68</v>
      </c>
      <c r="G7" s="1">
        <v>1831</v>
      </c>
    </row>
    <row r="8" spans="1:7" x14ac:dyDescent="0.25">
      <c r="A8" s="1" t="s">
        <v>12</v>
      </c>
      <c r="B8" s="1">
        <v>215.18</v>
      </c>
      <c r="C8" s="1">
        <v>217.91</v>
      </c>
      <c r="D8" s="1">
        <v>192.45</v>
      </c>
      <c r="E8" s="1">
        <v>283.77</v>
      </c>
      <c r="F8" s="1">
        <v>275.32</v>
      </c>
      <c r="G8" s="1">
        <v>186.84</v>
      </c>
    </row>
    <row r="9" spans="1:7" x14ac:dyDescent="0.25">
      <c r="A9" s="1" t="s">
        <v>13</v>
      </c>
      <c r="B9" s="1">
        <v>2151.77</v>
      </c>
      <c r="C9" s="1">
        <v>2157.29</v>
      </c>
      <c r="D9" s="1">
        <v>1900.37</v>
      </c>
      <c r="E9" s="1">
        <v>2809.31</v>
      </c>
      <c r="F9" s="1">
        <v>2725.68</v>
      </c>
      <c r="G9" s="1">
        <v>1335.77</v>
      </c>
    </row>
    <row r="10" spans="1:7" x14ac:dyDescent="0.25">
      <c r="A10" s="1" t="s">
        <v>14</v>
      </c>
      <c r="B10" s="1">
        <v>215.18</v>
      </c>
      <c r="C10" s="1">
        <v>217.91</v>
      </c>
      <c r="D10" s="1">
        <v>191.96</v>
      </c>
      <c r="E10" s="1">
        <v>283.77</v>
      </c>
      <c r="F10" s="1">
        <v>275.32</v>
      </c>
      <c r="G10" s="1">
        <v>136.30000000000001</v>
      </c>
    </row>
    <row r="11" spans="1:7" x14ac:dyDescent="0.25">
      <c r="A11" s="1" t="s">
        <v>15</v>
      </c>
      <c r="B11" s="1">
        <v>2064.42</v>
      </c>
      <c r="C11" s="1">
        <v>2068.7399999999998</v>
      </c>
      <c r="D11" s="1">
        <v>1780.55</v>
      </c>
      <c r="E11" s="1">
        <v>2628.61</v>
      </c>
      <c r="F11" s="1">
        <v>2532.5500000000002</v>
      </c>
      <c r="G11" s="1">
        <v>1006.79</v>
      </c>
    </row>
    <row r="12" spans="1:7" x14ac:dyDescent="0.25">
      <c r="A12" s="1" t="s">
        <v>16</v>
      </c>
      <c r="B12" s="1">
        <v>252.64</v>
      </c>
      <c r="C12" s="1">
        <v>229.34</v>
      </c>
      <c r="D12" s="1">
        <v>241.27</v>
      </c>
      <c r="E12" s="1">
        <v>270.44</v>
      </c>
      <c r="F12" s="1">
        <v>244.71</v>
      </c>
      <c r="G12" s="1">
        <v>207.64</v>
      </c>
    </row>
    <row r="13" spans="1:7" x14ac:dyDescent="0.25">
      <c r="A13" s="1" t="s">
        <v>17</v>
      </c>
      <c r="B13" s="1">
        <v>24.54</v>
      </c>
      <c r="C13" s="1">
        <v>26.57</v>
      </c>
      <c r="D13" s="1">
        <v>17.38</v>
      </c>
      <c r="E13" s="1">
        <v>26.61</v>
      </c>
      <c r="F13" s="1">
        <v>24.45</v>
      </c>
      <c r="G13" s="1">
        <v>42.97</v>
      </c>
    </row>
    <row r="14" spans="1:7" x14ac:dyDescent="0.25">
      <c r="A14" s="1" t="s">
        <v>18</v>
      </c>
      <c r="B14" s="1">
        <v>56.8</v>
      </c>
      <c r="C14" s="1">
        <v>57.53</v>
      </c>
      <c r="D14" s="1">
        <v>52.19</v>
      </c>
      <c r="E14" s="1">
        <v>62.29</v>
      </c>
      <c r="F14" s="1">
        <v>53.32</v>
      </c>
      <c r="G14" s="1">
        <v>79.88</v>
      </c>
    </row>
    <row r="15" spans="1:7" x14ac:dyDescent="0.25">
      <c r="A15" s="1" t="s">
        <v>19</v>
      </c>
      <c r="B15" s="1">
        <v>7</v>
      </c>
      <c r="C15" s="1">
        <v>7</v>
      </c>
      <c r="D15" s="1">
        <v>3</v>
      </c>
      <c r="E15" s="1">
        <v>7</v>
      </c>
      <c r="F15" s="1">
        <v>7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2151.77</v>
      </c>
      <c r="C17" s="1">
        <v>2157.29</v>
      </c>
      <c r="D17" s="1">
        <v>1902.81</v>
      </c>
      <c r="E17" s="1">
        <v>2809.31</v>
      </c>
      <c r="F17" s="1">
        <v>2725.68</v>
      </c>
      <c r="G17" s="1">
        <v>1583.39</v>
      </c>
    </row>
    <row r="18" spans="1:7" x14ac:dyDescent="0.25">
      <c r="A18" s="1" t="s">
        <v>22</v>
      </c>
      <c r="B18" s="1">
        <v>0</v>
      </c>
      <c r="C18" s="1">
        <v>0</v>
      </c>
      <c r="D18" s="1">
        <v>2.4300000000000002</v>
      </c>
      <c r="E18" s="1">
        <v>0</v>
      </c>
      <c r="F18" s="1">
        <v>0</v>
      </c>
      <c r="G18" s="1">
        <v>247.62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2.5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7.4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3.9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1.2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4.8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39.393939393939398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12.121212121212123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48.484848484848492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221.57</v>
      </c>
      <c r="C33" s="3">
        <v>224.97</v>
      </c>
      <c r="D33" s="3">
        <v>203.09</v>
      </c>
      <c r="E33" s="3">
        <v>303.33</v>
      </c>
      <c r="F33" s="3">
        <v>283.18</v>
      </c>
      <c r="G33" s="3">
        <v>84.56</v>
      </c>
    </row>
    <row r="35" spans="1:7" x14ac:dyDescent="0.25">
      <c r="A35" s="3" t="s">
        <v>36</v>
      </c>
      <c r="B35" s="3"/>
      <c r="C35" s="3"/>
      <c r="D35" s="3">
        <f>D33-C33</f>
        <v>-21.879999999999995</v>
      </c>
      <c r="E35" s="3"/>
      <c r="F35" s="3">
        <f>F33-E33</f>
        <v>-20.149999999999977</v>
      </c>
      <c r="G3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6D08-5029-484E-967B-A186A5DEC8F8}">
  <dimension ref="A1:G35"/>
  <sheetViews>
    <sheetView topLeftCell="A7" workbookViewId="0">
      <selection activeCell="J31" sqref="J3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443.01</v>
      </c>
      <c r="C2" s="1">
        <v>346.43</v>
      </c>
      <c r="D2" s="1">
        <v>427.62</v>
      </c>
      <c r="E2" s="1">
        <v>450.4</v>
      </c>
      <c r="F2" s="1">
        <v>416.17</v>
      </c>
      <c r="G2" s="1">
        <v>391.68</v>
      </c>
    </row>
    <row r="3" spans="1:7" x14ac:dyDescent="0.25">
      <c r="A3" s="1" t="s">
        <v>7</v>
      </c>
      <c r="B3" s="1">
        <v>44.81</v>
      </c>
      <c r="C3" s="1">
        <v>37.5</v>
      </c>
      <c r="D3" s="1">
        <v>40.47</v>
      </c>
      <c r="E3" s="1">
        <v>46.37</v>
      </c>
      <c r="F3" s="1">
        <v>44.83</v>
      </c>
      <c r="G3" s="1">
        <v>45.5</v>
      </c>
    </row>
    <row r="4" spans="1:7" x14ac:dyDescent="0.25">
      <c r="A4" s="1" t="s">
        <v>8</v>
      </c>
      <c r="B4" s="1">
        <v>20155.34</v>
      </c>
      <c r="C4" s="1">
        <v>13368.85</v>
      </c>
      <c r="D4" s="1">
        <v>17638.03</v>
      </c>
      <c r="E4" s="1">
        <v>21267.86</v>
      </c>
      <c r="F4" s="1">
        <v>18960.740000000002</v>
      </c>
      <c r="G4" s="1">
        <v>18353.95</v>
      </c>
    </row>
    <row r="5" spans="1:7" x14ac:dyDescent="0.25">
      <c r="A5" s="1" t="s">
        <v>9</v>
      </c>
      <c r="B5" s="1">
        <v>1186.24</v>
      </c>
      <c r="C5" s="1">
        <v>1256.43</v>
      </c>
      <c r="D5" s="1">
        <v>2193.59</v>
      </c>
      <c r="E5" s="1">
        <v>2549.0500000000002</v>
      </c>
      <c r="F5" s="1">
        <v>1650.81</v>
      </c>
      <c r="G5" s="1">
        <v>1375.05</v>
      </c>
    </row>
    <row r="6" spans="1:7" x14ac:dyDescent="0.25">
      <c r="A6" s="3" t="s">
        <v>10</v>
      </c>
      <c r="B6" s="3">
        <v>118.62</v>
      </c>
      <c r="C6" s="3">
        <v>126.91</v>
      </c>
      <c r="D6" s="3">
        <v>221.57</v>
      </c>
      <c r="E6" s="3">
        <v>257.48</v>
      </c>
      <c r="F6" s="3">
        <v>166.75</v>
      </c>
      <c r="G6" s="3">
        <v>140.31</v>
      </c>
    </row>
    <row r="7" spans="1:7" x14ac:dyDescent="0.25">
      <c r="A7" s="1" t="s">
        <v>11</v>
      </c>
      <c r="B7" s="1">
        <v>1063.58</v>
      </c>
      <c r="C7" s="1">
        <v>1137.93</v>
      </c>
      <c r="D7" s="1">
        <v>1979.74</v>
      </c>
      <c r="E7" s="1">
        <v>2365.79</v>
      </c>
      <c r="F7" s="1">
        <v>1434.82</v>
      </c>
      <c r="G7" s="1">
        <v>1237.08</v>
      </c>
    </row>
    <row r="8" spans="1:7" x14ac:dyDescent="0.25">
      <c r="A8" s="1" t="s">
        <v>12</v>
      </c>
      <c r="B8" s="1">
        <v>106.36</v>
      </c>
      <c r="C8" s="1">
        <v>114.94</v>
      </c>
      <c r="D8" s="1">
        <v>199.97</v>
      </c>
      <c r="E8" s="1">
        <v>238.97</v>
      </c>
      <c r="F8" s="1">
        <v>144.93</v>
      </c>
      <c r="G8" s="1">
        <v>126.23</v>
      </c>
    </row>
    <row r="9" spans="1:7" x14ac:dyDescent="0.25">
      <c r="A9" s="1" t="s">
        <v>13</v>
      </c>
      <c r="B9" s="1">
        <v>444.43</v>
      </c>
      <c r="C9" s="1">
        <v>1002.16</v>
      </c>
      <c r="D9" s="1">
        <v>1979.74</v>
      </c>
      <c r="E9" s="1">
        <v>2101.91</v>
      </c>
      <c r="F9" s="1">
        <v>1376.88</v>
      </c>
      <c r="G9" s="1">
        <v>663.29</v>
      </c>
    </row>
    <row r="10" spans="1:7" x14ac:dyDescent="0.25">
      <c r="A10" s="1" t="s">
        <v>14</v>
      </c>
      <c r="B10" s="1">
        <v>44.44</v>
      </c>
      <c r="C10" s="1">
        <v>101.23</v>
      </c>
      <c r="D10" s="1">
        <v>199.97</v>
      </c>
      <c r="E10" s="1">
        <v>212.31</v>
      </c>
      <c r="F10" s="1">
        <v>139.08000000000001</v>
      </c>
      <c r="G10" s="1">
        <v>67.680000000000007</v>
      </c>
    </row>
    <row r="11" spans="1:7" x14ac:dyDescent="0.25">
      <c r="A11" s="1" t="s">
        <v>15</v>
      </c>
      <c r="B11" s="1">
        <v>61.78</v>
      </c>
      <c r="C11" s="1">
        <v>855.56</v>
      </c>
      <c r="D11" s="1">
        <v>1840.07</v>
      </c>
      <c r="E11" s="1">
        <v>1612.1</v>
      </c>
      <c r="F11" s="1">
        <v>987.61</v>
      </c>
      <c r="G11" s="1">
        <v>762.7</v>
      </c>
    </row>
    <row r="12" spans="1:7" x14ac:dyDescent="0.25">
      <c r="A12" s="1" t="s">
        <v>16</v>
      </c>
      <c r="B12" s="1">
        <v>207.06</v>
      </c>
      <c r="C12" s="1">
        <v>175.2</v>
      </c>
      <c r="D12" s="1">
        <v>217</v>
      </c>
      <c r="E12" s="1">
        <v>226.48</v>
      </c>
      <c r="F12" s="1">
        <v>200.14</v>
      </c>
      <c r="G12" s="1">
        <v>199.26</v>
      </c>
    </row>
    <row r="13" spans="1:7" x14ac:dyDescent="0.25">
      <c r="A13" s="1" t="s">
        <v>17</v>
      </c>
      <c r="B13" s="1">
        <v>23.83</v>
      </c>
      <c r="C13" s="1">
        <v>29.85</v>
      </c>
      <c r="D13" s="1">
        <v>25.54</v>
      </c>
      <c r="E13" s="1">
        <v>33.44</v>
      </c>
      <c r="F13" s="1">
        <v>30.66</v>
      </c>
      <c r="G13" s="1">
        <v>30.56</v>
      </c>
    </row>
    <row r="14" spans="1:7" x14ac:dyDescent="0.25">
      <c r="A14" s="1" t="s">
        <v>18</v>
      </c>
      <c r="B14" s="1">
        <v>68.53</v>
      </c>
      <c r="C14" s="1">
        <v>58.67</v>
      </c>
      <c r="D14" s="1">
        <v>61.55</v>
      </c>
      <c r="E14" s="1">
        <v>73.59</v>
      </c>
      <c r="F14" s="1">
        <v>82.5</v>
      </c>
      <c r="G14" s="1">
        <v>56.79</v>
      </c>
    </row>
    <row r="15" spans="1:7" x14ac:dyDescent="0.25">
      <c r="A15" s="1" t="s">
        <v>19</v>
      </c>
      <c r="B15" s="1">
        <v>6</v>
      </c>
      <c r="C15" s="1">
        <v>6</v>
      </c>
      <c r="D15" s="1">
        <v>6</v>
      </c>
      <c r="E15" s="1">
        <v>8</v>
      </c>
      <c r="F15" s="1">
        <v>5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754</v>
      </c>
      <c r="C17" s="1">
        <v>1070.04</v>
      </c>
      <c r="D17" s="1">
        <v>1979.74</v>
      </c>
      <c r="E17" s="1">
        <v>2233.85</v>
      </c>
      <c r="F17" s="1">
        <v>1405.85</v>
      </c>
      <c r="G17" s="1">
        <v>950.19</v>
      </c>
    </row>
    <row r="18" spans="1:7" x14ac:dyDescent="0.25">
      <c r="A18" s="1" t="s">
        <v>22</v>
      </c>
      <c r="B18" s="1">
        <v>309.58</v>
      </c>
      <c r="C18" s="1">
        <v>67.89</v>
      </c>
      <c r="D18" s="1">
        <v>0</v>
      </c>
      <c r="E18" s="1">
        <v>131.94</v>
      </c>
      <c r="F18" s="1">
        <v>28.97</v>
      </c>
      <c r="G18" s="1">
        <v>286.89999999999998</v>
      </c>
    </row>
    <row r="19" spans="1:7" x14ac:dyDescent="0.25">
      <c r="A19" s="1" t="s">
        <v>23</v>
      </c>
      <c r="B19" s="1">
        <v>3</v>
      </c>
      <c r="C19" s="1">
        <v>0</v>
      </c>
      <c r="D19" s="1">
        <v>0</v>
      </c>
      <c r="E19" s="1">
        <v>1</v>
      </c>
      <c r="F19" s="1">
        <v>0</v>
      </c>
      <c r="G19" s="1">
        <v>1</v>
      </c>
    </row>
    <row r="20" spans="1:7" x14ac:dyDescent="0.25">
      <c r="A20" s="1" t="s">
        <v>24</v>
      </c>
      <c r="B20" s="1">
        <v>4.7</v>
      </c>
      <c r="C20" s="1">
        <v>0</v>
      </c>
      <c r="D20" s="1">
        <v>0</v>
      </c>
      <c r="E20" s="1">
        <v>1.3</v>
      </c>
      <c r="F20" s="1">
        <v>0</v>
      </c>
      <c r="G20" s="1">
        <v>2.5</v>
      </c>
    </row>
    <row r="21" spans="1:7" x14ac:dyDescent="0.25">
      <c r="A21" s="1" t="s">
        <v>25</v>
      </c>
      <c r="B21" s="1">
        <v>5.4</v>
      </c>
      <c r="C21" s="1">
        <v>10</v>
      </c>
      <c r="D21" s="1">
        <v>10</v>
      </c>
      <c r="E21" s="1">
        <v>8.6999999999999993</v>
      </c>
      <c r="F21" s="1">
        <v>10</v>
      </c>
      <c r="G21" s="1">
        <v>7.4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4.8</v>
      </c>
      <c r="C24" s="1">
        <v>0</v>
      </c>
      <c r="D24" s="1">
        <v>0</v>
      </c>
      <c r="E24" s="1">
        <v>1</v>
      </c>
      <c r="F24" s="1">
        <v>0</v>
      </c>
      <c r="G24" s="1">
        <v>3.9</v>
      </c>
    </row>
    <row r="25" spans="1:7" x14ac:dyDescent="0.25">
      <c r="A25" s="1" t="s">
        <v>29</v>
      </c>
      <c r="B25" s="1">
        <v>1</v>
      </c>
      <c r="C25" s="1">
        <v>1.3</v>
      </c>
      <c r="D25" s="1">
        <v>0</v>
      </c>
      <c r="E25" s="1">
        <v>0</v>
      </c>
      <c r="F25" s="1">
        <v>2.2999999999999998</v>
      </c>
      <c r="G25" s="1">
        <v>1</v>
      </c>
    </row>
    <row r="26" spans="1:7" x14ac:dyDescent="0.25">
      <c r="A26" s="1" t="s">
        <v>30</v>
      </c>
      <c r="B26" s="1">
        <v>4.3</v>
      </c>
      <c r="C26" s="1">
        <v>8.6999999999999993</v>
      </c>
      <c r="D26" s="1">
        <v>10</v>
      </c>
      <c r="E26" s="1">
        <v>9</v>
      </c>
      <c r="F26" s="1">
        <v>7.7</v>
      </c>
      <c r="G26" s="1">
        <v>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47.524752475247524</v>
      </c>
      <c r="C29" s="3">
        <f t="shared" ref="C29:G29" si="1">C24/C28*100</f>
        <v>0</v>
      </c>
      <c r="D29" s="3">
        <f t="shared" si="1"/>
        <v>0</v>
      </c>
      <c r="E29" s="3">
        <f t="shared" si="1"/>
        <v>10</v>
      </c>
      <c r="F29" s="3">
        <f t="shared" si="1"/>
        <v>0</v>
      </c>
      <c r="G29" s="3">
        <f t="shared" si="1"/>
        <v>39.393939393939391</v>
      </c>
    </row>
    <row r="30" spans="1:7" x14ac:dyDescent="0.25">
      <c r="A30" s="3" t="s">
        <v>33</v>
      </c>
      <c r="B30" s="3">
        <f>B25/B28*100</f>
        <v>9.9009900990099009</v>
      </c>
      <c r="C30" s="3">
        <f t="shared" ref="C30:G30" si="2">C25/C28*100</f>
        <v>13</v>
      </c>
      <c r="D30" s="3">
        <f t="shared" si="2"/>
        <v>0</v>
      </c>
      <c r="E30" s="3">
        <f t="shared" si="2"/>
        <v>0</v>
      </c>
      <c r="F30" s="3">
        <f t="shared" si="2"/>
        <v>23</v>
      </c>
      <c r="G30" s="3">
        <f t="shared" si="2"/>
        <v>10.1010101010101</v>
      </c>
    </row>
    <row r="31" spans="1:7" x14ac:dyDescent="0.25">
      <c r="A31" s="3" t="s">
        <v>34</v>
      </c>
      <c r="B31" s="3">
        <f>B26/B28*100</f>
        <v>42.574257425742573</v>
      </c>
      <c r="C31" s="3">
        <f t="shared" ref="C31:G31" si="3">C26/C28*100</f>
        <v>86.999999999999986</v>
      </c>
      <c r="D31" s="3">
        <f t="shared" si="3"/>
        <v>100</v>
      </c>
      <c r="E31" s="3">
        <f t="shared" si="3"/>
        <v>90</v>
      </c>
      <c r="F31" s="3">
        <f t="shared" si="3"/>
        <v>77</v>
      </c>
      <c r="G31" s="3">
        <f t="shared" si="3"/>
        <v>50.505050505050505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5.21</v>
      </c>
      <c r="C33" s="3">
        <v>110.11</v>
      </c>
      <c r="D33" s="3">
        <v>219.89</v>
      </c>
      <c r="E33" s="3">
        <v>194.89</v>
      </c>
      <c r="F33" s="3">
        <v>149.25</v>
      </c>
      <c r="G33" s="3">
        <v>33.979999999999997</v>
      </c>
    </row>
    <row r="35" spans="1:7" x14ac:dyDescent="0.25">
      <c r="A35" s="3" t="s">
        <v>36</v>
      </c>
      <c r="B35" s="3"/>
      <c r="C35" s="3"/>
      <c r="D35" s="3">
        <f>D33-C33</f>
        <v>109.77999999999999</v>
      </c>
      <c r="E35" s="3"/>
      <c r="F35" s="3">
        <f>F33-E33</f>
        <v>-45.639999999999986</v>
      </c>
      <c r="G35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E77C-40CD-4DB6-AD5B-04525745A25F}">
  <dimension ref="A1:G35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471.08</v>
      </c>
      <c r="C2" s="1">
        <v>468.11</v>
      </c>
      <c r="D2" s="1">
        <v>486.27</v>
      </c>
      <c r="E2" s="1">
        <v>497.13</v>
      </c>
      <c r="F2" s="1">
        <v>510.47</v>
      </c>
      <c r="G2" s="1">
        <v>488.52</v>
      </c>
    </row>
    <row r="3" spans="1:7" x14ac:dyDescent="0.25">
      <c r="A3" s="1" t="s">
        <v>7</v>
      </c>
      <c r="B3" s="1">
        <v>40.840000000000003</v>
      </c>
      <c r="C3" s="1">
        <v>42.88</v>
      </c>
      <c r="D3" s="1">
        <v>40.96</v>
      </c>
      <c r="E3" s="1">
        <v>42.28</v>
      </c>
      <c r="F3" s="1">
        <v>42.58</v>
      </c>
      <c r="G3" s="1">
        <v>39.47</v>
      </c>
    </row>
    <row r="4" spans="1:7" x14ac:dyDescent="0.25">
      <c r="A4" s="1" t="s">
        <v>8</v>
      </c>
      <c r="B4" s="1">
        <v>19606.36</v>
      </c>
      <c r="C4" s="1">
        <v>20385.73</v>
      </c>
      <c r="D4" s="1">
        <v>20253.189999999999</v>
      </c>
      <c r="E4" s="1">
        <v>21442.1</v>
      </c>
      <c r="F4" s="1">
        <v>22176.71</v>
      </c>
      <c r="G4" s="1">
        <v>19571.02</v>
      </c>
    </row>
    <row r="5" spans="1:7" x14ac:dyDescent="0.25">
      <c r="A5" s="1" t="s">
        <v>9</v>
      </c>
      <c r="B5" s="1">
        <v>1194.81</v>
      </c>
      <c r="C5" s="1">
        <v>772.05</v>
      </c>
      <c r="D5" s="1">
        <v>1151.57</v>
      </c>
      <c r="E5" s="1">
        <v>2450.46</v>
      </c>
      <c r="F5" s="1">
        <v>2629.9</v>
      </c>
      <c r="G5" s="1">
        <v>2074.08</v>
      </c>
    </row>
    <row r="6" spans="1:7" x14ac:dyDescent="0.25">
      <c r="A6" s="3" t="s">
        <v>10</v>
      </c>
      <c r="B6" s="3">
        <v>119.48</v>
      </c>
      <c r="C6" s="3">
        <v>77.98</v>
      </c>
      <c r="D6" s="3">
        <v>116.32</v>
      </c>
      <c r="E6" s="3">
        <v>247.52</v>
      </c>
      <c r="F6" s="3">
        <v>265.64999999999998</v>
      </c>
      <c r="G6" s="3">
        <v>209.5</v>
      </c>
    </row>
    <row r="7" spans="1:7" x14ac:dyDescent="0.25">
      <c r="A7" s="1" t="s">
        <v>11</v>
      </c>
      <c r="B7" s="1">
        <v>1069.44</v>
      </c>
      <c r="C7" s="1">
        <v>623.41</v>
      </c>
      <c r="D7" s="1">
        <v>1086.02</v>
      </c>
      <c r="E7" s="1">
        <v>2291.8000000000002</v>
      </c>
      <c r="F7" s="1">
        <v>2483.9899999999998</v>
      </c>
      <c r="G7" s="1">
        <v>1896.07</v>
      </c>
    </row>
    <row r="8" spans="1:7" x14ac:dyDescent="0.25">
      <c r="A8" s="1" t="s">
        <v>12</v>
      </c>
      <c r="B8" s="1">
        <v>106.94</v>
      </c>
      <c r="C8" s="1">
        <v>62.97</v>
      </c>
      <c r="D8" s="1">
        <v>109.7</v>
      </c>
      <c r="E8" s="1">
        <v>231.49</v>
      </c>
      <c r="F8" s="1">
        <v>250.91</v>
      </c>
      <c r="G8" s="1">
        <v>191.52</v>
      </c>
    </row>
    <row r="9" spans="1:7" x14ac:dyDescent="0.25">
      <c r="A9" s="1" t="s">
        <v>13</v>
      </c>
      <c r="B9" s="1">
        <v>637.85</v>
      </c>
      <c r="C9" s="1">
        <v>231.6</v>
      </c>
      <c r="D9" s="1">
        <v>-902.85</v>
      </c>
      <c r="E9" s="1">
        <v>2233.77</v>
      </c>
      <c r="F9" s="1">
        <v>2483.9899999999998</v>
      </c>
      <c r="G9" s="1">
        <v>1404.68</v>
      </c>
    </row>
    <row r="10" spans="1:7" x14ac:dyDescent="0.25">
      <c r="A10" s="1" t="s">
        <v>14</v>
      </c>
      <c r="B10" s="1">
        <v>63.78</v>
      </c>
      <c r="C10" s="1">
        <v>23.39</v>
      </c>
      <c r="D10" s="1">
        <v>-91.2</v>
      </c>
      <c r="E10" s="1">
        <v>225.63</v>
      </c>
      <c r="F10" s="1">
        <v>250.91</v>
      </c>
      <c r="G10" s="1">
        <v>141.88999999999999</v>
      </c>
    </row>
    <row r="11" spans="1:7" x14ac:dyDescent="0.25">
      <c r="A11" s="1" t="s">
        <v>15</v>
      </c>
      <c r="B11" s="1">
        <v>196.45</v>
      </c>
      <c r="C11" s="1">
        <v>227.1</v>
      </c>
      <c r="D11" s="1">
        <v>285.56</v>
      </c>
      <c r="E11" s="1">
        <v>1853.88</v>
      </c>
      <c r="F11" s="1">
        <v>1871.51</v>
      </c>
      <c r="G11" s="1">
        <v>1074.71</v>
      </c>
    </row>
    <row r="12" spans="1:7" x14ac:dyDescent="0.25">
      <c r="A12" s="1" t="s">
        <v>16</v>
      </c>
      <c r="B12" s="1">
        <v>210.35</v>
      </c>
      <c r="C12" s="1">
        <v>142.86000000000001</v>
      </c>
      <c r="D12" s="1">
        <v>210.77</v>
      </c>
      <c r="E12" s="1">
        <v>244.87</v>
      </c>
      <c r="F12" s="1">
        <v>262.24</v>
      </c>
      <c r="G12" s="1">
        <v>244.87</v>
      </c>
    </row>
    <row r="13" spans="1:7" x14ac:dyDescent="0.25">
      <c r="A13" s="1" t="s">
        <v>17</v>
      </c>
      <c r="B13" s="1">
        <v>48.56</v>
      </c>
      <c r="C13" s="1">
        <v>45.24</v>
      </c>
      <c r="D13" s="1">
        <v>49.8</v>
      </c>
      <c r="E13" s="1">
        <v>38.380000000000003</v>
      </c>
      <c r="F13" s="1">
        <v>31.12</v>
      </c>
      <c r="G13" s="1">
        <v>40.56</v>
      </c>
    </row>
    <row r="14" spans="1:7" x14ac:dyDescent="0.25">
      <c r="A14" s="1" t="s">
        <v>18</v>
      </c>
      <c r="B14" s="1">
        <v>93.48</v>
      </c>
      <c r="C14" s="1">
        <v>93.63</v>
      </c>
      <c r="D14" s="1">
        <v>96.12</v>
      </c>
      <c r="E14" s="1">
        <v>85.08</v>
      </c>
      <c r="F14" s="1">
        <v>71.150000000000006</v>
      </c>
      <c r="G14" s="1">
        <v>110.15</v>
      </c>
    </row>
    <row r="15" spans="1:7" x14ac:dyDescent="0.25">
      <c r="A15" s="1" t="s">
        <v>19</v>
      </c>
      <c r="B15" s="1">
        <v>4</v>
      </c>
      <c r="C15" s="1">
        <v>5</v>
      </c>
      <c r="D15" s="1">
        <v>5</v>
      </c>
      <c r="E15" s="1">
        <v>6</v>
      </c>
      <c r="F15" s="1">
        <v>5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853.64</v>
      </c>
      <c r="C17" s="1">
        <v>427.5</v>
      </c>
      <c r="D17" s="1">
        <v>91.59</v>
      </c>
      <c r="E17" s="1">
        <v>2262.79</v>
      </c>
      <c r="F17" s="1">
        <v>2483.9899999999998</v>
      </c>
      <c r="G17" s="1">
        <v>1650.37</v>
      </c>
    </row>
    <row r="18" spans="1:7" x14ac:dyDescent="0.25">
      <c r="A18" s="1" t="s">
        <v>22</v>
      </c>
      <c r="B18" s="1">
        <v>215.8</v>
      </c>
      <c r="C18" s="1">
        <v>195.91</v>
      </c>
      <c r="D18" s="1">
        <v>994.43</v>
      </c>
      <c r="E18" s="1">
        <v>29.01</v>
      </c>
      <c r="F18" s="1">
        <v>0</v>
      </c>
      <c r="G18" s="1">
        <v>245.69</v>
      </c>
    </row>
    <row r="19" spans="1:7" x14ac:dyDescent="0.25">
      <c r="A19" s="1" t="s">
        <v>23</v>
      </c>
      <c r="B19" s="1">
        <v>1</v>
      </c>
      <c r="C19" s="1">
        <v>1</v>
      </c>
      <c r="D19" s="1">
        <v>2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1.3</v>
      </c>
      <c r="C20" s="1">
        <v>2.6</v>
      </c>
      <c r="D20" s="1">
        <v>8.1999999999999993</v>
      </c>
      <c r="E20" s="1">
        <v>0</v>
      </c>
      <c r="F20" s="1">
        <v>0</v>
      </c>
      <c r="G20" s="1">
        <v>1.5</v>
      </c>
    </row>
    <row r="21" spans="1:7" x14ac:dyDescent="0.25">
      <c r="A21" s="1" t="s">
        <v>25</v>
      </c>
      <c r="B21" s="1">
        <v>8.8000000000000007</v>
      </c>
      <c r="C21" s="1">
        <v>7.4</v>
      </c>
      <c r="D21" s="1">
        <v>1.8</v>
      </c>
      <c r="E21" s="1">
        <v>10</v>
      </c>
      <c r="F21" s="1">
        <v>10</v>
      </c>
      <c r="G21" s="1">
        <v>8.5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2.6</v>
      </c>
    </row>
    <row r="24" spans="1:7" x14ac:dyDescent="0.25">
      <c r="A24" s="1" t="s">
        <v>28</v>
      </c>
      <c r="B24" s="1">
        <v>0</v>
      </c>
      <c r="C24" s="1">
        <v>0</v>
      </c>
      <c r="D24" s="1">
        <v>9</v>
      </c>
      <c r="E24" s="1">
        <v>0</v>
      </c>
      <c r="F24" s="1">
        <v>0</v>
      </c>
      <c r="G24" s="1">
        <v>1.4</v>
      </c>
    </row>
    <row r="25" spans="1:7" x14ac:dyDescent="0.25">
      <c r="A25" s="1" t="s">
        <v>29</v>
      </c>
      <c r="B25" s="1">
        <v>6.2</v>
      </c>
      <c r="C25" s="1">
        <v>6.6</v>
      </c>
      <c r="D25" s="1">
        <v>1</v>
      </c>
      <c r="E25" s="1">
        <v>1.8</v>
      </c>
      <c r="F25" s="1">
        <v>0</v>
      </c>
      <c r="G25" s="1">
        <v>2.9</v>
      </c>
    </row>
    <row r="26" spans="1:7" x14ac:dyDescent="0.25">
      <c r="A26" s="1" t="s">
        <v>30</v>
      </c>
      <c r="B26" s="1">
        <v>3.9</v>
      </c>
      <c r="C26" s="1">
        <v>3.4</v>
      </c>
      <c r="D26" s="1">
        <v>0</v>
      </c>
      <c r="E26" s="1">
        <v>8.1999999999999993</v>
      </c>
      <c r="F26" s="1">
        <v>10</v>
      </c>
      <c r="G26" s="1">
        <v>5.7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90</v>
      </c>
      <c r="E29" s="3">
        <f t="shared" si="1"/>
        <v>0</v>
      </c>
      <c r="F29" s="3">
        <f t="shared" si="1"/>
        <v>0</v>
      </c>
      <c r="G29" s="3">
        <f t="shared" si="1"/>
        <v>13.999999999999998</v>
      </c>
    </row>
    <row r="30" spans="1:7" x14ac:dyDescent="0.25">
      <c r="A30" s="3" t="s">
        <v>33</v>
      </c>
      <c r="B30" s="3">
        <f>B25/B28*100</f>
        <v>61.386138613861384</v>
      </c>
      <c r="C30" s="3">
        <f t="shared" ref="C30:G30" si="2">C25/C28*100</f>
        <v>65.999999999999986</v>
      </c>
      <c r="D30" s="3">
        <f t="shared" si="2"/>
        <v>10</v>
      </c>
      <c r="E30" s="3">
        <f t="shared" si="2"/>
        <v>18</v>
      </c>
      <c r="F30" s="3">
        <f t="shared" si="2"/>
        <v>0</v>
      </c>
      <c r="G30" s="3">
        <f t="shared" si="2"/>
        <v>28.999999999999996</v>
      </c>
    </row>
    <row r="31" spans="1:7" x14ac:dyDescent="0.25">
      <c r="A31" s="3" t="s">
        <v>34</v>
      </c>
      <c r="B31" s="3">
        <f>B26/B28*100</f>
        <v>38.613861386138616</v>
      </c>
      <c r="C31" s="3">
        <f t="shared" ref="C31:G31" si="3">C26/C28*100</f>
        <v>34</v>
      </c>
      <c r="D31" s="3">
        <f t="shared" si="3"/>
        <v>0</v>
      </c>
      <c r="E31" s="3">
        <f t="shared" si="3"/>
        <v>82</v>
      </c>
      <c r="F31" s="3">
        <f t="shared" si="3"/>
        <v>100</v>
      </c>
      <c r="G31" s="3">
        <f t="shared" si="3"/>
        <v>57.000000000000007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49.633742574257433</v>
      </c>
      <c r="C33" s="3">
        <v>14.4</v>
      </c>
      <c r="D33" s="3">
        <v>-85.34</v>
      </c>
      <c r="E33" s="3">
        <v>235.09</v>
      </c>
      <c r="F33" s="3">
        <v>262.27</v>
      </c>
      <c r="G33" s="3">
        <v>128.44999999999999</v>
      </c>
    </row>
    <row r="35" spans="1:7" x14ac:dyDescent="0.25">
      <c r="A35" s="3" t="s">
        <v>36</v>
      </c>
      <c r="B35" s="3"/>
      <c r="C35" s="3"/>
      <c r="D35" s="3">
        <f>D33-C33</f>
        <v>-99.740000000000009</v>
      </c>
      <c r="E35" s="3"/>
      <c r="F35" s="3">
        <f>F33-E33</f>
        <v>27.179999999999978</v>
      </c>
      <c r="G35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294A-8ACD-44F3-8EEF-CD95025258BD}">
  <dimension ref="A1:G35"/>
  <sheetViews>
    <sheetView topLeftCell="A10" workbookViewId="0">
      <selection activeCell="M30" sqref="M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441.43</v>
      </c>
      <c r="C2" s="1">
        <v>487.52</v>
      </c>
      <c r="D2" s="1">
        <v>454.61</v>
      </c>
      <c r="E2" s="1">
        <v>479.68</v>
      </c>
      <c r="F2" s="1">
        <v>500.25</v>
      </c>
      <c r="G2" s="1">
        <v>490.42</v>
      </c>
    </row>
    <row r="3" spans="1:7" x14ac:dyDescent="0.25">
      <c r="A3" s="1" t="s">
        <v>7</v>
      </c>
      <c r="B3" s="1">
        <v>40.1</v>
      </c>
      <c r="C3" s="1">
        <v>43.82</v>
      </c>
      <c r="D3" s="1">
        <v>40.880000000000003</v>
      </c>
      <c r="E3" s="1">
        <v>42.75</v>
      </c>
      <c r="F3" s="1">
        <v>48</v>
      </c>
      <c r="G3" s="1">
        <v>49.2</v>
      </c>
    </row>
    <row r="4" spans="1:7" x14ac:dyDescent="0.25">
      <c r="A4" s="1" t="s">
        <v>8</v>
      </c>
      <c r="B4" s="1">
        <v>18024.939999999999</v>
      </c>
      <c r="C4" s="1">
        <v>21722.07</v>
      </c>
      <c r="D4" s="1">
        <v>18895.39</v>
      </c>
      <c r="E4" s="1">
        <v>20884.2</v>
      </c>
      <c r="F4" s="1">
        <v>24426.12</v>
      </c>
      <c r="G4" s="1">
        <v>24521.62</v>
      </c>
    </row>
    <row r="5" spans="1:7" x14ac:dyDescent="0.25">
      <c r="A5" s="1" t="s">
        <v>9</v>
      </c>
      <c r="B5" s="1">
        <v>1774.43</v>
      </c>
      <c r="C5" s="1">
        <v>774.76</v>
      </c>
      <c r="D5" s="1">
        <v>1165.0899999999999</v>
      </c>
      <c r="E5" s="1">
        <v>1895.87</v>
      </c>
      <c r="F5" s="1">
        <v>1953.9</v>
      </c>
      <c r="G5" s="1">
        <v>703.61</v>
      </c>
    </row>
    <row r="6" spans="1:7" x14ac:dyDescent="0.25">
      <c r="A6" s="3" t="s">
        <v>10</v>
      </c>
      <c r="B6" s="3">
        <v>177.44</v>
      </c>
      <c r="C6" s="3">
        <v>78.260000000000005</v>
      </c>
      <c r="D6" s="3">
        <v>117.69</v>
      </c>
      <c r="E6" s="3">
        <v>191.5</v>
      </c>
      <c r="F6" s="3">
        <v>197.36</v>
      </c>
      <c r="G6" s="3">
        <v>71.069999999999993</v>
      </c>
    </row>
    <row r="7" spans="1:7" x14ac:dyDescent="0.25">
      <c r="A7" s="1" t="s">
        <v>11</v>
      </c>
      <c r="B7" s="1">
        <v>1666.97</v>
      </c>
      <c r="C7" s="1">
        <v>760.38</v>
      </c>
      <c r="D7" s="1">
        <v>1095.42</v>
      </c>
      <c r="E7" s="1">
        <v>1718.73</v>
      </c>
      <c r="F7" s="1">
        <v>1867.94</v>
      </c>
      <c r="G7" s="1">
        <v>681.5</v>
      </c>
    </row>
    <row r="8" spans="1:7" x14ac:dyDescent="0.25">
      <c r="A8" s="1" t="s">
        <v>12</v>
      </c>
      <c r="B8" s="1">
        <v>166.7</v>
      </c>
      <c r="C8" s="1">
        <v>76.81</v>
      </c>
      <c r="D8" s="1">
        <v>110.65</v>
      </c>
      <c r="E8" s="1">
        <v>173.61</v>
      </c>
      <c r="F8" s="1">
        <v>188.68</v>
      </c>
      <c r="G8" s="1">
        <v>68.84</v>
      </c>
    </row>
    <row r="9" spans="1:7" x14ac:dyDescent="0.25">
      <c r="A9" s="1" t="s">
        <v>13</v>
      </c>
      <c r="B9" s="1">
        <v>1650.59</v>
      </c>
      <c r="C9" s="1">
        <v>760.38</v>
      </c>
      <c r="D9" s="1">
        <v>-529.97</v>
      </c>
      <c r="E9" s="1">
        <v>1715.33</v>
      </c>
      <c r="F9" s="1">
        <v>1867.94</v>
      </c>
      <c r="G9" s="1">
        <v>379.68</v>
      </c>
    </row>
    <row r="10" spans="1:7" x14ac:dyDescent="0.25">
      <c r="A10" s="1" t="s">
        <v>14</v>
      </c>
      <c r="B10" s="1">
        <v>165.06</v>
      </c>
      <c r="C10" s="1">
        <v>76.81</v>
      </c>
      <c r="D10" s="1">
        <v>-53.53</v>
      </c>
      <c r="E10" s="1">
        <v>173.27</v>
      </c>
      <c r="F10" s="1">
        <v>188.68</v>
      </c>
      <c r="G10" s="1">
        <v>38.35</v>
      </c>
    </row>
    <row r="11" spans="1:7" x14ac:dyDescent="0.25">
      <c r="A11" s="1" t="s">
        <v>15</v>
      </c>
      <c r="B11" s="1">
        <v>1490.01</v>
      </c>
      <c r="C11" s="1">
        <v>732.43</v>
      </c>
      <c r="D11" s="1">
        <v>325.93</v>
      </c>
      <c r="E11" s="1">
        <v>1595.68</v>
      </c>
      <c r="F11" s="1">
        <v>1755.79</v>
      </c>
      <c r="G11" s="1">
        <v>230.58</v>
      </c>
    </row>
    <row r="12" spans="1:7" x14ac:dyDescent="0.25">
      <c r="A12" s="1" t="s">
        <v>16</v>
      </c>
      <c r="B12" s="1">
        <v>223.77</v>
      </c>
      <c r="C12" s="1">
        <v>231.3</v>
      </c>
      <c r="D12" s="1">
        <v>229.17</v>
      </c>
      <c r="E12" s="1">
        <v>230.36</v>
      </c>
      <c r="F12" s="1">
        <v>253</v>
      </c>
      <c r="G12" s="1">
        <v>241.35</v>
      </c>
    </row>
    <row r="13" spans="1:7" x14ac:dyDescent="0.25">
      <c r="A13" s="1" t="s">
        <v>17</v>
      </c>
      <c r="B13" s="1">
        <v>20.54</v>
      </c>
      <c r="C13" s="1">
        <v>16.28</v>
      </c>
      <c r="D13" s="1">
        <v>35.21</v>
      </c>
      <c r="E13" s="1">
        <v>29.53</v>
      </c>
      <c r="F13" s="1">
        <v>21.9</v>
      </c>
      <c r="G13" s="1">
        <v>21.72</v>
      </c>
    </row>
    <row r="14" spans="1:7" x14ac:dyDescent="0.25">
      <c r="A14" s="1" t="s">
        <v>18</v>
      </c>
      <c r="B14" s="1">
        <v>44.43</v>
      </c>
      <c r="C14" s="1">
        <v>40.700000000000003</v>
      </c>
      <c r="D14" s="1">
        <v>94.46</v>
      </c>
      <c r="E14" s="1">
        <v>67.16</v>
      </c>
      <c r="F14" s="1">
        <v>53.75</v>
      </c>
      <c r="G14" s="1">
        <v>48.98</v>
      </c>
    </row>
    <row r="15" spans="1:7" x14ac:dyDescent="0.25">
      <c r="A15" s="1" t="s">
        <v>19</v>
      </c>
      <c r="B15" s="1">
        <v>6</v>
      </c>
      <c r="C15" s="1">
        <v>3</v>
      </c>
      <c r="D15" s="1">
        <v>5</v>
      </c>
      <c r="E15" s="1">
        <v>8</v>
      </c>
      <c r="F15" s="1">
        <v>6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1658.78</v>
      </c>
      <c r="C17" s="1">
        <v>760.38</v>
      </c>
      <c r="D17" s="1">
        <v>282.73</v>
      </c>
      <c r="E17" s="1">
        <v>1717.03</v>
      </c>
      <c r="F17" s="1">
        <v>1867.94</v>
      </c>
      <c r="G17" s="1">
        <v>530.59</v>
      </c>
    </row>
    <row r="18" spans="1:7" x14ac:dyDescent="0.25">
      <c r="A18" s="1" t="s">
        <v>22</v>
      </c>
      <c r="B18" s="1">
        <v>8.19</v>
      </c>
      <c r="C18" s="1">
        <v>0</v>
      </c>
      <c r="D18" s="1">
        <v>812.7</v>
      </c>
      <c r="E18" s="1">
        <v>1.7</v>
      </c>
      <c r="F18" s="1">
        <v>0</v>
      </c>
      <c r="G18" s="1">
        <v>150.91</v>
      </c>
    </row>
    <row r="19" spans="1:7" x14ac:dyDescent="0.25">
      <c r="A19" s="1" t="s">
        <v>23</v>
      </c>
      <c r="B19" s="1">
        <v>0</v>
      </c>
      <c r="C19" s="1">
        <v>0</v>
      </c>
      <c r="D19" s="1">
        <v>2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3.7</v>
      </c>
      <c r="E20" s="1">
        <v>0</v>
      </c>
      <c r="F20" s="1">
        <v>0</v>
      </c>
      <c r="G20" s="1">
        <v>2.8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6.3</v>
      </c>
      <c r="E21" s="1">
        <v>10</v>
      </c>
      <c r="F21" s="1">
        <v>10</v>
      </c>
      <c r="G21" s="1">
        <v>7.2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6.2</v>
      </c>
      <c r="E24" s="1">
        <v>0</v>
      </c>
      <c r="F24" s="1">
        <v>0</v>
      </c>
      <c r="G24" s="1">
        <v>2.9</v>
      </c>
    </row>
    <row r="25" spans="1:7" x14ac:dyDescent="0.25">
      <c r="A25" s="1" t="s">
        <v>29</v>
      </c>
      <c r="B25" s="1">
        <v>0</v>
      </c>
      <c r="C25" s="1">
        <v>0</v>
      </c>
      <c r="D25" s="1">
        <v>1.2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2.6</v>
      </c>
      <c r="E26" s="1">
        <v>10</v>
      </c>
      <c r="F26" s="1">
        <v>10</v>
      </c>
      <c r="G26" s="1">
        <v>7.1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62</v>
      </c>
      <c r="E29" s="3">
        <f t="shared" si="1"/>
        <v>0</v>
      </c>
      <c r="F29" s="3">
        <f t="shared" si="1"/>
        <v>0</v>
      </c>
      <c r="G29" s="3">
        <f t="shared" si="1"/>
        <v>28.999999999999996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12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26</v>
      </c>
      <c r="E31" s="3">
        <f t="shared" si="3"/>
        <v>100</v>
      </c>
      <c r="F31" s="3">
        <f t="shared" si="3"/>
        <v>100</v>
      </c>
      <c r="G31" s="3">
        <f t="shared" si="3"/>
        <v>71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175.43</v>
      </c>
      <c r="C33" s="3">
        <v>77.540000000000006</v>
      </c>
      <c r="D33" s="3">
        <v>-17.32</v>
      </c>
      <c r="E33" s="3">
        <v>188.91</v>
      </c>
      <c r="F33" s="3">
        <v>193.56</v>
      </c>
      <c r="G33" s="3">
        <v>24.42</v>
      </c>
    </row>
    <row r="35" spans="1:7" x14ac:dyDescent="0.25">
      <c r="A35" s="3" t="s">
        <v>36</v>
      </c>
      <c r="B35" s="3"/>
      <c r="C35" s="3"/>
      <c r="D35" s="3">
        <f>D33-C33</f>
        <v>-94.860000000000014</v>
      </c>
      <c r="E35" s="3"/>
      <c r="F35" s="3">
        <f>F33-E33</f>
        <v>4.6500000000000057</v>
      </c>
      <c r="G3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81DC-0F83-4C39-95D6-70CE1E2A784C}">
  <dimension ref="A1:G35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311.26</v>
      </c>
      <c r="C2" s="1">
        <v>347.38</v>
      </c>
      <c r="D2" s="1">
        <v>349.24</v>
      </c>
      <c r="E2" s="1">
        <v>350.4</v>
      </c>
      <c r="F2" s="1">
        <v>400.46</v>
      </c>
      <c r="G2" s="1">
        <v>376.42</v>
      </c>
    </row>
    <row r="3" spans="1:7" x14ac:dyDescent="0.25">
      <c r="A3" s="1" t="s">
        <v>7</v>
      </c>
      <c r="B3" s="1">
        <v>51.93</v>
      </c>
      <c r="C3" s="1">
        <v>40.68</v>
      </c>
      <c r="D3" s="1">
        <v>36.06</v>
      </c>
      <c r="E3" s="1">
        <v>33.24</v>
      </c>
      <c r="F3" s="1">
        <v>37.770000000000003</v>
      </c>
      <c r="G3" s="1">
        <v>42.76</v>
      </c>
    </row>
    <row r="4" spans="1:7" x14ac:dyDescent="0.25">
      <c r="A4" s="1" t="s">
        <v>8</v>
      </c>
      <c r="B4" s="1">
        <v>16216.68</v>
      </c>
      <c r="C4" s="1">
        <v>14323.43</v>
      </c>
      <c r="D4" s="1">
        <v>12875.7</v>
      </c>
      <c r="E4" s="1">
        <v>11907.44</v>
      </c>
      <c r="F4" s="1">
        <v>15402.14</v>
      </c>
      <c r="G4" s="1">
        <v>16547.099999999999</v>
      </c>
    </row>
    <row r="5" spans="1:7" x14ac:dyDescent="0.25">
      <c r="A5" s="1" t="s">
        <v>9</v>
      </c>
      <c r="B5" s="1">
        <v>684.7</v>
      </c>
      <c r="C5" s="1">
        <v>645.58000000000004</v>
      </c>
      <c r="D5" s="1">
        <v>915.39</v>
      </c>
      <c r="E5" s="1">
        <v>1507.34</v>
      </c>
      <c r="F5" s="1">
        <v>1376.76</v>
      </c>
      <c r="G5" s="1">
        <v>701.92</v>
      </c>
    </row>
    <row r="6" spans="1:7" x14ac:dyDescent="0.25">
      <c r="A6" s="3" t="s">
        <v>10</v>
      </c>
      <c r="B6" s="3">
        <v>68.47</v>
      </c>
      <c r="C6" s="3">
        <v>65.209999999999994</v>
      </c>
      <c r="D6" s="3">
        <v>92.46</v>
      </c>
      <c r="E6" s="3">
        <v>152.26</v>
      </c>
      <c r="F6" s="3">
        <v>139.07</v>
      </c>
      <c r="G6" s="3">
        <v>70.900000000000006</v>
      </c>
    </row>
    <row r="7" spans="1:7" x14ac:dyDescent="0.25">
      <c r="A7" s="1" t="s">
        <v>11</v>
      </c>
      <c r="B7" s="1">
        <v>609.97</v>
      </c>
      <c r="C7" s="1">
        <v>497.83</v>
      </c>
      <c r="D7" s="1">
        <v>743.46</v>
      </c>
      <c r="E7" s="1">
        <v>1444.37</v>
      </c>
      <c r="F7" s="1">
        <v>1320.71</v>
      </c>
      <c r="G7" s="1">
        <v>593.6</v>
      </c>
    </row>
    <row r="8" spans="1:7" x14ac:dyDescent="0.25">
      <c r="A8" s="1" t="s">
        <v>12</v>
      </c>
      <c r="B8" s="1">
        <v>61</v>
      </c>
      <c r="C8" s="1">
        <v>50.29</v>
      </c>
      <c r="D8" s="1">
        <v>75.099999999999994</v>
      </c>
      <c r="E8" s="1">
        <v>145.9</v>
      </c>
      <c r="F8" s="1">
        <v>133.4</v>
      </c>
      <c r="G8" s="1">
        <v>59.96</v>
      </c>
    </row>
    <row r="9" spans="1:7" x14ac:dyDescent="0.25">
      <c r="A9" s="1" t="s">
        <v>13</v>
      </c>
      <c r="B9" s="1">
        <v>331.43</v>
      </c>
      <c r="C9" s="1">
        <v>201.58</v>
      </c>
      <c r="D9" s="1">
        <v>-375.68</v>
      </c>
      <c r="E9" s="1">
        <v>1390.74</v>
      </c>
      <c r="F9" s="1">
        <v>1231.47</v>
      </c>
      <c r="G9" s="1">
        <v>-282.81</v>
      </c>
    </row>
    <row r="10" spans="1:7" x14ac:dyDescent="0.25">
      <c r="A10" s="1" t="s">
        <v>14</v>
      </c>
      <c r="B10" s="1">
        <v>33.14</v>
      </c>
      <c r="C10" s="1">
        <v>20.36</v>
      </c>
      <c r="D10" s="1">
        <v>-37.950000000000003</v>
      </c>
      <c r="E10" s="1">
        <v>140.47999999999999</v>
      </c>
      <c r="F10" s="1">
        <v>124.39</v>
      </c>
      <c r="G10" s="1">
        <v>-28.57</v>
      </c>
    </row>
    <row r="11" spans="1:7" x14ac:dyDescent="0.25">
      <c r="A11" s="1" t="s">
        <v>15</v>
      </c>
      <c r="B11" s="1">
        <v>228.83</v>
      </c>
      <c r="C11" s="1">
        <v>86.32</v>
      </c>
      <c r="D11" s="1">
        <v>216.87</v>
      </c>
      <c r="E11" s="1">
        <v>1240.02</v>
      </c>
      <c r="F11" s="1">
        <v>1187.94</v>
      </c>
      <c r="G11" s="1">
        <v>118.2</v>
      </c>
    </row>
    <row r="12" spans="1:7" x14ac:dyDescent="0.25">
      <c r="A12" s="1" t="s">
        <v>16</v>
      </c>
      <c r="B12" s="1">
        <v>145.88999999999999</v>
      </c>
      <c r="C12" s="1">
        <v>144.54</v>
      </c>
      <c r="D12" s="1">
        <v>179.26</v>
      </c>
      <c r="E12" s="1">
        <v>197.46</v>
      </c>
      <c r="F12" s="1">
        <v>201.67</v>
      </c>
      <c r="G12" s="1">
        <v>159.16</v>
      </c>
    </row>
    <row r="13" spans="1:7" x14ac:dyDescent="0.25">
      <c r="A13" s="1" t="s">
        <v>17</v>
      </c>
      <c r="B13" s="1">
        <v>24.57</v>
      </c>
      <c r="C13" s="1">
        <v>41.11</v>
      </c>
      <c r="D13" s="1">
        <v>29.04</v>
      </c>
      <c r="E13" s="1">
        <v>21.75</v>
      </c>
      <c r="F13" s="1">
        <v>23.66</v>
      </c>
      <c r="G13" s="1">
        <v>44.03</v>
      </c>
    </row>
    <row r="14" spans="1:7" x14ac:dyDescent="0.25">
      <c r="A14" s="1" t="s">
        <v>18</v>
      </c>
      <c r="B14" s="1">
        <v>57.36</v>
      </c>
      <c r="C14" s="1">
        <v>67.400000000000006</v>
      </c>
      <c r="D14" s="1">
        <v>60.67</v>
      </c>
      <c r="E14" s="1">
        <v>62.65</v>
      </c>
      <c r="F14" s="1">
        <v>48.75</v>
      </c>
      <c r="G14" s="1">
        <v>82.03</v>
      </c>
    </row>
    <row r="15" spans="1:7" x14ac:dyDescent="0.25">
      <c r="A15" s="1" t="s">
        <v>19</v>
      </c>
      <c r="B15" s="1">
        <v>4</v>
      </c>
      <c r="C15" s="1">
        <v>5</v>
      </c>
      <c r="D15" s="1">
        <v>4</v>
      </c>
      <c r="E15" s="1">
        <v>8</v>
      </c>
      <c r="F15" s="1">
        <v>5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470.7</v>
      </c>
      <c r="C17" s="1">
        <v>349.7</v>
      </c>
      <c r="D17" s="1">
        <v>183.89</v>
      </c>
      <c r="E17" s="1">
        <v>1417.55</v>
      </c>
      <c r="F17" s="1">
        <v>1276.0899999999999</v>
      </c>
      <c r="G17" s="1">
        <v>155.38999999999999</v>
      </c>
    </row>
    <row r="18" spans="1:7" x14ac:dyDescent="0.25">
      <c r="A18" s="1" t="s">
        <v>22</v>
      </c>
      <c r="B18" s="1">
        <v>139.27000000000001</v>
      </c>
      <c r="C18" s="1">
        <v>148.13</v>
      </c>
      <c r="D18" s="1">
        <v>559.57000000000005</v>
      </c>
      <c r="E18" s="1">
        <v>26.81</v>
      </c>
      <c r="F18" s="1">
        <v>44.62</v>
      </c>
      <c r="G18" s="1">
        <v>438.2</v>
      </c>
    </row>
    <row r="19" spans="1:7" x14ac:dyDescent="0.25">
      <c r="A19" s="1" t="s">
        <v>23</v>
      </c>
      <c r="B19" s="1">
        <v>2</v>
      </c>
      <c r="C19" s="1">
        <v>0</v>
      </c>
      <c r="D19" s="1">
        <v>3</v>
      </c>
      <c r="E19" s="1">
        <v>0</v>
      </c>
      <c r="F19" s="1">
        <v>0</v>
      </c>
      <c r="G19" s="1">
        <v>3</v>
      </c>
    </row>
    <row r="20" spans="1:7" x14ac:dyDescent="0.25">
      <c r="A20" s="1" t="s">
        <v>24</v>
      </c>
      <c r="B20" s="1">
        <v>2.6</v>
      </c>
      <c r="C20" s="1">
        <v>0</v>
      </c>
      <c r="D20" s="1">
        <v>4.5999999999999996</v>
      </c>
      <c r="E20" s="1">
        <v>0</v>
      </c>
      <c r="F20" s="1">
        <v>0</v>
      </c>
      <c r="G20" s="1">
        <v>5.6</v>
      </c>
    </row>
    <row r="21" spans="1:7" x14ac:dyDescent="0.25">
      <c r="A21" s="1" t="s">
        <v>25</v>
      </c>
      <c r="B21" s="1">
        <v>7.5</v>
      </c>
      <c r="C21" s="1">
        <v>10</v>
      </c>
      <c r="D21" s="1">
        <v>5.4</v>
      </c>
      <c r="E21" s="1">
        <v>10</v>
      </c>
      <c r="F21" s="1">
        <v>10</v>
      </c>
      <c r="G21" s="1">
        <v>4.4000000000000004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</v>
      </c>
      <c r="C24" s="1">
        <v>0</v>
      </c>
      <c r="D24" s="1">
        <v>5.6</v>
      </c>
      <c r="E24" s="1">
        <v>0</v>
      </c>
      <c r="F24" s="1">
        <v>0</v>
      </c>
      <c r="G24" s="1">
        <v>1.7</v>
      </c>
    </row>
    <row r="25" spans="1:7" x14ac:dyDescent="0.25">
      <c r="A25" s="1" t="s">
        <v>29</v>
      </c>
      <c r="B25" s="1">
        <v>4.9000000000000004</v>
      </c>
      <c r="C25" s="1">
        <v>6</v>
      </c>
      <c r="D25" s="1">
        <v>4.4000000000000004</v>
      </c>
      <c r="E25" s="1">
        <v>0</v>
      </c>
      <c r="F25" s="1">
        <v>0</v>
      </c>
      <c r="G25" s="1">
        <v>4.7</v>
      </c>
    </row>
    <row r="26" spans="1:7" x14ac:dyDescent="0.25">
      <c r="A26" s="1" t="s">
        <v>30</v>
      </c>
      <c r="B26" s="1">
        <v>4.2</v>
      </c>
      <c r="C26" s="1">
        <v>4</v>
      </c>
      <c r="D26" s="1">
        <v>0</v>
      </c>
      <c r="E26" s="1">
        <v>10</v>
      </c>
      <c r="F26" s="1">
        <v>10</v>
      </c>
      <c r="G26" s="1">
        <v>3.6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9.9009900990099009</v>
      </c>
      <c r="C29" s="3">
        <f t="shared" ref="C29:G29" si="1">C24/C28*100</f>
        <v>0</v>
      </c>
      <c r="D29" s="3">
        <f t="shared" si="1"/>
        <v>55.999999999999993</v>
      </c>
      <c r="E29" s="3">
        <f t="shared" si="1"/>
        <v>0</v>
      </c>
      <c r="F29" s="3">
        <f t="shared" si="1"/>
        <v>0</v>
      </c>
      <c r="G29" s="3">
        <f t="shared" si="1"/>
        <v>17</v>
      </c>
    </row>
    <row r="30" spans="1:7" x14ac:dyDescent="0.25">
      <c r="A30" s="3" t="s">
        <v>33</v>
      </c>
      <c r="B30" s="3">
        <f>B25/B28*100</f>
        <v>48.514851485148512</v>
      </c>
      <c r="C30" s="3">
        <f t="shared" ref="C30:G30" si="2">C25/C28*100</f>
        <v>60</v>
      </c>
      <c r="D30" s="3">
        <f t="shared" si="2"/>
        <v>44.000000000000007</v>
      </c>
      <c r="E30" s="3">
        <f t="shared" si="2"/>
        <v>0</v>
      </c>
      <c r="F30" s="3">
        <f t="shared" si="2"/>
        <v>0</v>
      </c>
      <c r="G30" s="3">
        <f t="shared" si="2"/>
        <v>47</v>
      </c>
    </row>
    <row r="31" spans="1:7" x14ac:dyDescent="0.25">
      <c r="A31" s="3" t="s">
        <v>34</v>
      </c>
      <c r="B31" s="3">
        <f>B26/B28*100</f>
        <v>41.584158415841586</v>
      </c>
      <c r="C31" s="3">
        <f t="shared" ref="C31:G31" si="3">C26/C28*100</f>
        <v>40</v>
      </c>
      <c r="D31" s="3">
        <f t="shared" si="3"/>
        <v>0</v>
      </c>
      <c r="E31" s="3">
        <f t="shared" si="3"/>
        <v>100</v>
      </c>
      <c r="F31" s="3">
        <f t="shared" si="3"/>
        <v>100</v>
      </c>
      <c r="G31" s="3">
        <f t="shared" si="3"/>
        <v>36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29.05</v>
      </c>
      <c r="C33" s="3">
        <v>29.01</v>
      </c>
      <c r="D33" s="3">
        <v>-34.69</v>
      </c>
      <c r="E33" s="3">
        <v>147.58000000000001</v>
      </c>
      <c r="F33" s="3">
        <v>125.21</v>
      </c>
      <c r="G33" s="3">
        <v>-0.1</v>
      </c>
    </row>
    <row r="35" spans="1:7" x14ac:dyDescent="0.25">
      <c r="A35" s="3" t="s">
        <v>36</v>
      </c>
      <c r="B35" s="3"/>
      <c r="C35" s="3"/>
      <c r="D35" s="3">
        <f>D33-C33</f>
        <v>-63.7</v>
      </c>
      <c r="E35" s="3"/>
      <c r="F35" s="3">
        <f>F33-E33</f>
        <v>-22.370000000000019</v>
      </c>
      <c r="G35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3076-D167-4177-9004-EF45CACD7A44}">
  <dimension ref="A1:G35"/>
  <sheetViews>
    <sheetView topLeftCell="A7" workbookViewId="0">
      <selection activeCell="J21" sqref="J2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475.44</v>
      </c>
      <c r="C2" s="1">
        <v>435.27</v>
      </c>
      <c r="D2" s="1">
        <v>441.83</v>
      </c>
      <c r="E2" s="1">
        <v>486.99</v>
      </c>
      <c r="F2" s="1">
        <v>494.93</v>
      </c>
      <c r="G2" s="1">
        <v>475.91</v>
      </c>
    </row>
    <row r="3" spans="1:7" x14ac:dyDescent="0.25">
      <c r="A3" s="1" t="s">
        <v>7</v>
      </c>
      <c r="B3" s="1">
        <v>60.12</v>
      </c>
      <c r="C3" s="1">
        <v>45.93</v>
      </c>
      <c r="D3" s="1">
        <v>44.13</v>
      </c>
      <c r="E3" s="1">
        <v>41.38</v>
      </c>
      <c r="F3" s="1">
        <v>45.66</v>
      </c>
      <c r="G3" s="1">
        <v>47.92</v>
      </c>
    </row>
    <row r="4" spans="1:7" x14ac:dyDescent="0.25">
      <c r="A4" s="1" t="s">
        <v>8</v>
      </c>
      <c r="B4" s="1">
        <v>29030.560000000001</v>
      </c>
      <c r="C4" s="1">
        <v>20229.37</v>
      </c>
      <c r="D4" s="1">
        <v>19718.400000000001</v>
      </c>
      <c r="E4" s="1">
        <v>20496.939999999999</v>
      </c>
      <c r="F4" s="1">
        <v>22974.16</v>
      </c>
      <c r="G4" s="1">
        <v>23205.42</v>
      </c>
    </row>
    <row r="5" spans="1:7" x14ac:dyDescent="0.25">
      <c r="A5" s="1" t="s">
        <v>9</v>
      </c>
      <c r="B5" s="1">
        <v>558.04</v>
      </c>
      <c r="C5" s="1">
        <v>791.78</v>
      </c>
      <c r="D5" s="1">
        <v>860.26</v>
      </c>
      <c r="E5" s="1">
        <v>1487.48</v>
      </c>
      <c r="F5" s="1">
        <v>1634.07</v>
      </c>
      <c r="G5" s="1">
        <v>1142.77</v>
      </c>
    </row>
    <row r="6" spans="1:7" x14ac:dyDescent="0.25">
      <c r="A6" s="3" t="s">
        <v>10</v>
      </c>
      <c r="B6" s="3">
        <v>55.8</v>
      </c>
      <c r="C6" s="3">
        <v>79.98</v>
      </c>
      <c r="D6" s="3">
        <v>86.9</v>
      </c>
      <c r="E6" s="3">
        <v>150.25</v>
      </c>
      <c r="F6" s="3">
        <v>165.06</v>
      </c>
      <c r="G6" s="3">
        <v>115.43</v>
      </c>
    </row>
    <row r="7" spans="1:7" x14ac:dyDescent="0.25">
      <c r="A7" s="1" t="s">
        <v>11</v>
      </c>
      <c r="B7" s="1">
        <v>481.94</v>
      </c>
      <c r="C7" s="1">
        <v>681.66</v>
      </c>
      <c r="D7" s="1">
        <v>802.63</v>
      </c>
      <c r="E7" s="1">
        <v>1422.42</v>
      </c>
      <c r="F7" s="1">
        <v>1513.71</v>
      </c>
      <c r="G7" s="1">
        <v>1020.23</v>
      </c>
    </row>
    <row r="8" spans="1:7" x14ac:dyDescent="0.25">
      <c r="A8" s="1" t="s">
        <v>12</v>
      </c>
      <c r="B8" s="1">
        <v>48.19</v>
      </c>
      <c r="C8" s="1">
        <v>68.849999999999994</v>
      </c>
      <c r="D8" s="1">
        <v>81.069999999999993</v>
      </c>
      <c r="E8" s="1">
        <v>143.68</v>
      </c>
      <c r="F8" s="1">
        <v>152.9</v>
      </c>
      <c r="G8" s="1">
        <v>103.05</v>
      </c>
    </row>
    <row r="9" spans="1:7" x14ac:dyDescent="0.25">
      <c r="A9" s="1" t="s">
        <v>13</v>
      </c>
      <c r="B9" s="1">
        <v>-132.69999999999999</v>
      </c>
      <c r="C9" s="1">
        <v>-427.34</v>
      </c>
      <c r="D9" s="1">
        <v>342.75</v>
      </c>
      <c r="E9" s="1">
        <v>1407.47</v>
      </c>
      <c r="F9" s="1">
        <v>1214.57</v>
      </c>
      <c r="G9" s="1">
        <v>667.61</v>
      </c>
    </row>
    <row r="10" spans="1:7" x14ac:dyDescent="0.25">
      <c r="A10" s="1" t="s">
        <v>14</v>
      </c>
      <c r="B10" s="1">
        <v>-13.27</v>
      </c>
      <c r="C10" s="1">
        <v>-43.17</v>
      </c>
      <c r="D10" s="1">
        <v>34.619999999999997</v>
      </c>
      <c r="E10" s="1">
        <v>142.16999999999999</v>
      </c>
      <c r="F10" s="1">
        <v>122.68</v>
      </c>
      <c r="G10" s="1">
        <v>67.430000000000007</v>
      </c>
    </row>
    <row r="11" spans="1:7" x14ac:dyDescent="0.25">
      <c r="A11" s="1" t="s">
        <v>15</v>
      </c>
      <c r="B11" s="1">
        <v>29.52</v>
      </c>
      <c r="C11" s="1">
        <v>357.53</v>
      </c>
      <c r="D11" s="1">
        <v>49.35</v>
      </c>
      <c r="E11" s="1">
        <v>968.84</v>
      </c>
      <c r="F11" s="1">
        <v>964.85</v>
      </c>
      <c r="G11" s="1">
        <v>526.39</v>
      </c>
    </row>
    <row r="12" spans="1:7" x14ac:dyDescent="0.25">
      <c r="A12" s="1" t="s">
        <v>16</v>
      </c>
      <c r="B12" s="1">
        <v>152.37</v>
      </c>
      <c r="C12" s="1">
        <v>187.58</v>
      </c>
      <c r="D12" s="1">
        <v>217.98</v>
      </c>
      <c r="E12" s="1">
        <v>268.89999999999998</v>
      </c>
      <c r="F12" s="1">
        <v>254.55</v>
      </c>
      <c r="G12" s="1">
        <v>192.37</v>
      </c>
    </row>
    <row r="13" spans="1:7" x14ac:dyDescent="0.25">
      <c r="A13" s="1" t="s">
        <v>17</v>
      </c>
      <c r="B13" s="1">
        <v>55.54</v>
      </c>
      <c r="C13" s="1">
        <v>34.26</v>
      </c>
      <c r="D13" s="1">
        <v>43.25</v>
      </c>
      <c r="E13" s="1">
        <v>41.41</v>
      </c>
      <c r="F13" s="1">
        <v>42.46</v>
      </c>
      <c r="G13" s="1">
        <v>38.619999999999997</v>
      </c>
    </row>
    <row r="14" spans="1:7" x14ac:dyDescent="0.25">
      <c r="A14" s="1" t="s">
        <v>18</v>
      </c>
      <c r="B14" s="1">
        <v>99.89</v>
      </c>
      <c r="C14" s="1">
        <v>81.08</v>
      </c>
      <c r="D14" s="1">
        <v>82.4</v>
      </c>
      <c r="E14" s="1">
        <v>101.8</v>
      </c>
      <c r="F14" s="1">
        <v>95.41</v>
      </c>
      <c r="G14" s="1">
        <v>97.07</v>
      </c>
    </row>
    <row r="15" spans="1:7" x14ac:dyDescent="0.25">
      <c r="A15" s="1" t="s">
        <v>19</v>
      </c>
      <c r="B15" s="1">
        <v>6</v>
      </c>
      <c r="C15" s="1">
        <v>4</v>
      </c>
      <c r="D15" s="1">
        <v>2</v>
      </c>
      <c r="E15" s="1">
        <v>5</v>
      </c>
      <c r="F15" s="1">
        <v>6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174.62</v>
      </c>
      <c r="C17" s="1">
        <v>127.16</v>
      </c>
      <c r="D17" s="1">
        <v>572.69000000000005</v>
      </c>
      <c r="E17" s="1">
        <v>1414.95</v>
      </c>
      <c r="F17" s="1">
        <v>1364.14</v>
      </c>
      <c r="G17" s="1">
        <v>843.92</v>
      </c>
    </row>
    <row r="18" spans="1:7" x14ac:dyDescent="0.25">
      <c r="A18" s="1" t="s">
        <v>22</v>
      </c>
      <c r="B18" s="1">
        <v>307.32</v>
      </c>
      <c r="C18" s="1">
        <v>554.5</v>
      </c>
      <c r="D18" s="1">
        <v>229.94</v>
      </c>
      <c r="E18" s="1">
        <v>7.47</v>
      </c>
      <c r="F18" s="1">
        <v>149.57</v>
      </c>
      <c r="G18" s="1">
        <v>176.31</v>
      </c>
    </row>
    <row r="19" spans="1:7" x14ac:dyDescent="0.25">
      <c r="A19" s="1" t="s">
        <v>23</v>
      </c>
      <c r="B19" s="1">
        <v>1</v>
      </c>
      <c r="C19" s="1">
        <v>4</v>
      </c>
      <c r="D19" s="1">
        <v>1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3.1</v>
      </c>
      <c r="C20" s="1">
        <v>7.2</v>
      </c>
      <c r="D20" s="1">
        <v>1.6</v>
      </c>
      <c r="E20" s="1">
        <v>0</v>
      </c>
      <c r="F20" s="1">
        <v>1.6</v>
      </c>
      <c r="G20" s="1">
        <v>1.3</v>
      </c>
    </row>
    <row r="21" spans="1:7" x14ac:dyDescent="0.25">
      <c r="A21" s="1" t="s">
        <v>25</v>
      </c>
      <c r="B21" s="1">
        <v>7</v>
      </c>
      <c r="C21" s="1">
        <v>2.8</v>
      </c>
      <c r="D21" s="1">
        <v>8.4</v>
      </c>
      <c r="E21" s="1">
        <v>10</v>
      </c>
      <c r="F21" s="1">
        <v>8.4</v>
      </c>
      <c r="G21" s="1">
        <v>8.6999999999999993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</v>
      </c>
      <c r="C24" s="1">
        <v>4.5</v>
      </c>
      <c r="D24" s="1">
        <v>1.4</v>
      </c>
      <c r="E24" s="1">
        <v>0</v>
      </c>
      <c r="F24" s="1">
        <v>2.2000000000000002</v>
      </c>
      <c r="G24" s="1">
        <v>2.4</v>
      </c>
    </row>
    <row r="25" spans="1:7" x14ac:dyDescent="0.25">
      <c r="A25" s="1" t="s">
        <v>29</v>
      </c>
      <c r="B25" s="1">
        <v>5.8</v>
      </c>
      <c r="C25" s="1">
        <v>4.4000000000000004</v>
      </c>
      <c r="D25" s="1">
        <v>3.3</v>
      </c>
      <c r="E25" s="1">
        <v>0</v>
      </c>
      <c r="F25" s="1">
        <v>0</v>
      </c>
      <c r="G25" s="1">
        <v>1</v>
      </c>
    </row>
    <row r="26" spans="1:7" x14ac:dyDescent="0.25">
      <c r="A26" s="1" t="s">
        <v>30</v>
      </c>
      <c r="B26" s="1">
        <v>2.2999999999999998</v>
      </c>
      <c r="C26" s="1">
        <v>1.1000000000000001</v>
      </c>
      <c r="D26" s="1">
        <v>5.3</v>
      </c>
      <c r="E26" s="1">
        <v>10</v>
      </c>
      <c r="F26" s="1">
        <v>7.8</v>
      </c>
      <c r="G26" s="1">
        <v>6.6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19.801980198019802</v>
      </c>
      <c r="C29" s="3">
        <f t="shared" ref="C29:G29" si="1">C24/C28*100</f>
        <v>45</v>
      </c>
      <c r="D29" s="3">
        <f t="shared" si="1"/>
        <v>13.999999999999998</v>
      </c>
      <c r="E29" s="3">
        <f t="shared" si="1"/>
        <v>0</v>
      </c>
      <c r="F29" s="3">
        <f t="shared" si="1"/>
        <v>22.000000000000004</v>
      </c>
      <c r="G29" s="3">
        <f t="shared" si="1"/>
        <v>24</v>
      </c>
    </row>
    <row r="30" spans="1:7" x14ac:dyDescent="0.25">
      <c r="A30" s="3" t="s">
        <v>33</v>
      </c>
      <c r="B30" s="3">
        <f>B25/B28*100</f>
        <v>57.42574257425742</v>
      </c>
      <c r="C30" s="3">
        <f t="shared" ref="C30:G30" si="2">C25/C28*100</f>
        <v>44.000000000000007</v>
      </c>
      <c r="D30" s="3">
        <f t="shared" si="2"/>
        <v>32.999999999999993</v>
      </c>
      <c r="E30" s="3">
        <f t="shared" si="2"/>
        <v>0</v>
      </c>
      <c r="F30" s="3">
        <f t="shared" si="2"/>
        <v>0</v>
      </c>
      <c r="G30" s="3">
        <f t="shared" si="2"/>
        <v>10</v>
      </c>
    </row>
    <row r="31" spans="1:7" x14ac:dyDescent="0.25">
      <c r="A31" s="3" t="s">
        <v>34</v>
      </c>
      <c r="B31" s="3">
        <f>B26/B28*100</f>
        <v>22.772277227722771</v>
      </c>
      <c r="C31" s="3">
        <f t="shared" ref="C31:G31" si="3">C26/C28*100</f>
        <v>11.000000000000002</v>
      </c>
      <c r="D31" s="3">
        <f t="shared" si="3"/>
        <v>53</v>
      </c>
      <c r="E31" s="3">
        <f t="shared" si="3"/>
        <v>100</v>
      </c>
      <c r="F31" s="3">
        <f t="shared" si="3"/>
        <v>78</v>
      </c>
      <c r="G31" s="3">
        <f t="shared" si="3"/>
        <v>65.999999999999986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-3.47</v>
      </c>
      <c r="C33" s="3">
        <v>-52.75</v>
      </c>
      <c r="D33" s="3">
        <v>11.39</v>
      </c>
      <c r="E33" s="3">
        <v>148.01</v>
      </c>
      <c r="F33" s="3">
        <v>122.82</v>
      </c>
      <c r="G33" s="3">
        <v>66.77</v>
      </c>
    </row>
    <row r="35" spans="1:7" x14ac:dyDescent="0.25">
      <c r="A35" s="3" t="s">
        <v>36</v>
      </c>
      <c r="B35" s="3"/>
      <c r="C35" s="3"/>
      <c r="D35" s="3">
        <f>D33-C33</f>
        <v>64.14</v>
      </c>
      <c r="E35" s="3"/>
      <c r="F35" s="3">
        <f>F33-E33</f>
        <v>-25.189999999999998</v>
      </c>
      <c r="G35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D398-992E-4C98-96A1-44E2C0464DB1}">
  <dimension ref="A1:G35"/>
  <sheetViews>
    <sheetView topLeftCell="A7" workbookViewId="0">
      <selection activeCell="L20" sqref="L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376.05</v>
      </c>
      <c r="C2" s="1">
        <v>381.21</v>
      </c>
      <c r="D2" s="1">
        <v>389.1</v>
      </c>
      <c r="E2" s="1">
        <v>371.45</v>
      </c>
      <c r="F2" s="1">
        <v>390.88</v>
      </c>
      <c r="G2" s="1">
        <v>334.59</v>
      </c>
    </row>
    <row r="3" spans="1:7" x14ac:dyDescent="0.25">
      <c r="A3" s="1" t="s">
        <v>7</v>
      </c>
      <c r="B3" s="1">
        <v>41.28</v>
      </c>
      <c r="C3" s="1">
        <v>43.09</v>
      </c>
      <c r="D3" s="1">
        <v>43.01</v>
      </c>
      <c r="E3" s="1">
        <v>40.46</v>
      </c>
      <c r="F3" s="1">
        <v>42.31</v>
      </c>
      <c r="G3" s="1">
        <v>34.450000000000003</v>
      </c>
    </row>
    <row r="4" spans="1:7" x14ac:dyDescent="0.25">
      <c r="A4" s="1" t="s">
        <v>8</v>
      </c>
      <c r="B4" s="1">
        <v>15840.07</v>
      </c>
      <c r="C4" s="1">
        <v>16704.599999999999</v>
      </c>
      <c r="D4" s="1">
        <v>17089.03</v>
      </c>
      <c r="E4" s="1">
        <v>15317.56</v>
      </c>
      <c r="F4" s="1">
        <v>16919.349999999999</v>
      </c>
      <c r="G4" s="1">
        <v>11962.85</v>
      </c>
    </row>
    <row r="5" spans="1:7" x14ac:dyDescent="0.25">
      <c r="A5" s="1" t="s">
        <v>9</v>
      </c>
      <c r="B5" s="1">
        <v>1214.6300000000001</v>
      </c>
      <c r="C5" s="1">
        <v>1599.75</v>
      </c>
      <c r="D5" s="1">
        <v>2077.29</v>
      </c>
      <c r="E5" s="1">
        <v>2040.67</v>
      </c>
      <c r="F5" s="1">
        <v>2723.56</v>
      </c>
      <c r="G5" s="1">
        <v>1493.69</v>
      </c>
    </row>
    <row r="6" spans="1:7" x14ac:dyDescent="0.25">
      <c r="A6" s="3" t="s">
        <v>10</v>
      </c>
      <c r="B6" s="3">
        <v>121.46</v>
      </c>
      <c r="C6" s="3">
        <v>161.59</v>
      </c>
      <c r="D6" s="3">
        <v>209.83</v>
      </c>
      <c r="E6" s="3">
        <v>206.13</v>
      </c>
      <c r="F6" s="3">
        <v>275.11</v>
      </c>
      <c r="G6" s="3">
        <v>150.88</v>
      </c>
    </row>
    <row r="7" spans="1:7" x14ac:dyDescent="0.25">
      <c r="A7" s="1" t="s">
        <v>11</v>
      </c>
      <c r="B7" s="1">
        <v>1155.57</v>
      </c>
      <c r="C7" s="1">
        <v>1539.08</v>
      </c>
      <c r="D7" s="1">
        <v>1956.38</v>
      </c>
      <c r="E7" s="1">
        <v>1880.54</v>
      </c>
      <c r="F7" s="1">
        <v>2615.9</v>
      </c>
      <c r="G7" s="1">
        <v>1411.28</v>
      </c>
    </row>
    <row r="8" spans="1:7" x14ac:dyDescent="0.25">
      <c r="A8" s="1" t="s">
        <v>12</v>
      </c>
      <c r="B8" s="1">
        <v>115.56</v>
      </c>
      <c r="C8" s="1">
        <v>155.46</v>
      </c>
      <c r="D8" s="1">
        <v>197.61</v>
      </c>
      <c r="E8" s="1">
        <v>189.95</v>
      </c>
      <c r="F8" s="1">
        <v>264.23</v>
      </c>
      <c r="G8" s="1">
        <v>142.55000000000001</v>
      </c>
    </row>
    <row r="9" spans="1:7" x14ac:dyDescent="0.25">
      <c r="A9" s="1" t="s">
        <v>13</v>
      </c>
      <c r="B9" s="1">
        <v>1151.67</v>
      </c>
      <c r="C9" s="1">
        <v>1539.08</v>
      </c>
      <c r="D9" s="1">
        <v>1956.38</v>
      </c>
      <c r="E9" s="1">
        <v>1604.36</v>
      </c>
      <c r="F9" s="1">
        <v>2615.9</v>
      </c>
      <c r="G9" s="1">
        <v>936.97</v>
      </c>
    </row>
    <row r="10" spans="1:7" x14ac:dyDescent="0.25">
      <c r="A10" s="1" t="s">
        <v>14</v>
      </c>
      <c r="B10" s="1">
        <v>115.17</v>
      </c>
      <c r="C10" s="1">
        <v>155.46</v>
      </c>
      <c r="D10" s="1">
        <v>197.61</v>
      </c>
      <c r="E10" s="1">
        <v>162.06</v>
      </c>
      <c r="F10" s="1">
        <v>264.23</v>
      </c>
      <c r="G10" s="1">
        <v>94.64</v>
      </c>
    </row>
    <row r="11" spans="1:7" x14ac:dyDescent="0.25">
      <c r="A11" s="1" t="s">
        <v>15</v>
      </c>
      <c r="B11" s="1">
        <v>1055.6600000000001</v>
      </c>
      <c r="C11" s="1">
        <v>1479.44</v>
      </c>
      <c r="D11" s="1">
        <v>1861.27</v>
      </c>
      <c r="E11" s="1">
        <v>1505.71</v>
      </c>
      <c r="F11" s="1">
        <v>2488.2800000000002</v>
      </c>
      <c r="G11" s="1">
        <v>745.99</v>
      </c>
    </row>
    <row r="12" spans="1:7" x14ac:dyDescent="0.25">
      <c r="A12" s="1" t="s">
        <v>16</v>
      </c>
      <c r="B12" s="1">
        <v>203.35</v>
      </c>
      <c r="C12" s="1">
        <v>212.45</v>
      </c>
      <c r="D12" s="1">
        <v>217.35</v>
      </c>
      <c r="E12" s="1">
        <v>212.4</v>
      </c>
      <c r="F12" s="1">
        <v>224.92</v>
      </c>
      <c r="G12" s="1">
        <v>186.12</v>
      </c>
    </row>
    <row r="13" spans="1:7" x14ac:dyDescent="0.25">
      <c r="A13" s="1" t="s">
        <v>17</v>
      </c>
      <c r="B13" s="1">
        <v>17.3</v>
      </c>
      <c r="C13" s="1">
        <v>19.760000000000002</v>
      </c>
      <c r="D13" s="1">
        <v>20.38</v>
      </c>
      <c r="E13" s="1">
        <v>28.96</v>
      </c>
      <c r="F13" s="1">
        <v>23.75</v>
      </c>
      <c r="G13" s="1">
        <v>26.75</v>
      </c>
    </row>
    <row r="14" spans="1:7" x14ac:dyDescent="0.25">
      <c r="A14" s="1" t="s">
        <v>18</v>
      </c>
      <c r="B14" s="1">
        <v>59.4</v>
      </c>
      <c r="C14" s="1">
        <v>40.75</v>
      </c>
      <c r="D14" s="1">
        <v>45.7</v>
      </c>
      <c r="E14" s="1">
        <v>66.09</v>
      </c>
      <c r="F14" s="1">
        <v>44.54</v>
      </c>
      <c r="G14" s="1">
        <v>67.349999999999994</v>
      </c>
    </row>
    <row r="15" spans="1:7" x14ac:dyDescent="0.25">
      <c r="A15" s="1" t="s">
        <v>19</v>
      </c>
      <c r="B15" s="1">
        <v>5</v>
      </c>
      <c r="C15" s="1">
        <v>5</v>
      </c>
      <c r="D15" s="1">
        <v>7</v>
      </c>
      <c r="E15" s="1">
        <v>5</v>
      </c>
      <c r="F15" s="1">
        <v>6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1153.6199999999999</v>
      </c>
      <c r="C17" s="1">
        <v>1539.08</v>
      </c>
      <c r="D17" s="1">
        <v>1956.38</v>
      </c>
      <c r="E17" s="1">
        <v>1742.45</v>
      </c>
      <c r="F17" s="1">
        <v>2615.9</v>
      </c>
      <c r="G17" s="1">
        <v>1174.1300000000001</v>
      </c>
    </row>
    <row r="18" spans="1:7" x14ac:dyDescent="0.25">
      <c r="A18" s="1" t="s">
        <v>22</v>
      </c>
      <c r="B18" s="1">
        <v>1.95</v>
      </c>
      <c r="C18" s="1">
        <v>0</v>
      </c>
      <c r="D18" s="1">
        <v>0</v>
      </c>
      <c r="E18" s="1">
        <v>138.09</v>
      </c>
      <c r="F18" s="1">
        <v>0</v>
      </c>
      <c r="G18" s="1">
        <v>237.16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2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1.3</v>
      </c>
      <c r="F20" s="1">
        <v>0</v>
      </c>
      <c r="G20" s="1">
        <v>2.7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8.6999999999999993</v>
      </c>
      <c r="F21" s="1">
        <v>10</v>
      </c>
      <c r="G21" s="1">
        <v>7.3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2.2999999999999998</v>
      </c>
      <c r="F23" s="1">
        <v>0</v>
      </c>
      <c r="G23" s="1">
        <v>3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2.2000000000000002</v>
      </c>
      <c r="F24" s="1">
        <v>0</v>
      </c>
      <c r="G24" s="1">
        <v>3.3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7.8</v>
      </c>
      <c r="F26" s="1">
        <v>10</v>
      </c>
      <c r="G26" s="1">
        <v>6.7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22.000000000000004</v>
      </c>
      <c r="F29" s="3">
        <f t="shared" si="1"/>
        <v>0</v>
      </c>
      <c r="G29" s="3">
        <f t="shared" si="1"/>
        <v>32.999999999999993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78</v>
      </c>
      <c r="F31" s="3">
        <f t="shared" si="3"/>
        <v>100</v>
      </c>
      <c r="G31" s="3">
        <f t="shared" si="3"/>
        <v>67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117.79</v>
      </c>
      <c r="C33" s="3">
        <v>159.82</v>
      </c>
      <c r="D33" s="3">
        <v>204.4</v>
      </c>
      <c r="E33" s="3">
        <v>158.87</v>
      </c>
      <c r="F33" s="3">
        <v>273.02</v>
      </c>
      <c r="G33" s="3">
        <v>75.61</v>
      </c>
    </row>
    <row r="35" spans="1:7" x14ac:dyDescent="0.25">
      <c r="A35" s="3" t="s">
        <v>36</v>
      </c>
      <c r="B35" s="3"/>
      <c r="C35" s="3"/>
      <c r="D35" s="3">
        <f>D33-C33</f>
        <v>44.580000000000013</v>
      </c>
      <c r="E35" s="3"/>
      <c r="F35" s="3">
        <f>F33-E33</f>
        <v>114.14999999999998</v>
      </c>
      <c r="G35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6774-DDEB-43E5-87E2-F76FC435E69F}">
  <dimension ref="A1:G35"/>
  <sheetViews>
    <sheetView topLeftCell="A13" workbookViewId="0">
      <selection activeCell="I19" sqref="I1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347.65</v>
      </c>
      <c r="C2" s="1">
        <v>470.16</v>
      </c>
      <c r="D2" s="1">
        <v>468.4</v>
      </c>
      <c r="E2" s="1">
        <v>467.35</v>
      </c>
      <c r="F2" s="1">
        <v>447.53</v>
      </c>
      <c r="G2" s="1">
        <v>450.05</v>
      </c>
    </row>
    <row r="3" spans="1:7" x14ac:dyDescent="0.25">
      <c r="A3" s="1" t="s">
        <v>7</v>
      </c>
      <c r="B3" s="1">
        <v>44.22</v>
      </c>
      <c r="C3" s="1">
        <v>43.07</v>
      </c>
      <c r="D3" s="1">
        <v>44.23</v>
      </c>
      <c r="E3" s="1">
        <v>46.24</v>
      </c>
      <c r="F3" s="1">
        <v>42.6</v>
      </c>
      <c r="G3" s="1">
        <v>44.33</v>
      </c>
    </row>
    <row r="4" spans="1:7" x14ac:dyDescent="0.25">
      <c r="A4" s="1" t="s">
        <v>8</v>
      </c>
      <c r="B4" s="1">
        <v>15610.04</v>
      </c>
      <c r="C4" s="1">
        <v>20663.28</v>
      </c>
      <c r="D4" s="1">
        <v>21240.44</v>
      </c>
      <c r="E4" s="1">
        <v>21948.07</v>
      </c>
      <c r="F4" s="1">
        <v>19404.64</v>
      </c>
      <c r="G4" s="1">
        <v>20385.96</v>
      </c>
    </row>
    <row r="5" spans="1:7" x14ac:dyDescent="0.25">
      <c r="A5" s="1" t="s">
        <v>9</v>
      </c>
      <c r="B5" s="1">
        <v>1458.97</v>
      </c>
      <c r="C5" s="1">
        <v>2070.88</v>
      </c>
      <c r="D5" s="1">
        <v>2509.25</v>
      </c>
      <c r="E5" s="1">
        <v>2564.15</v>
      </c>
      <c r="F5" s="1">
        <v>2306.3200000000002</v>
      </c>
      <c r="G5" s="1">
        <v>2432.96</v>
      </c>
    </row>
    <row r="6" spans="1:7" x14ac:dyDescent="0.25">
      <c r="A6" s="3" t="s">
        <v>10</v>
      </c>
      <c r="B6" s="3">
        <v>145.9</v>
      </c>
      <c r="C6" s="3">
        <v>209.18</v>
      </c>
      <c r="D6" s="3">
        <v>253.46</v>
      </c>
      <c r="E6" s="3">
        <v>259</v>
      </c>
      <c r="F6" s="3">
        <v>232.96</v>
      </c>
      <c r="G6" s="3">
        <v>245.75</v>
      </c>
    </row>
    <row r="7" spans="1:7" x14ac:dyDescent="0.25">
      <c r="A7" s="1" t="s">
        <v>11</v>
      </c>
      <c r="B7" s="1">
        <v>1351.99</v>
      </c>
      <c r="C7" s="1">
        <v>1924.66</v>
      </c>
      <c r="D7" s="1">
        <v>2262.02</v>
      </c>
      <c r="E7" s="1">
        <v>2351.62</v>
      </c>
      <c r="F7" s="1">
        <v>1945.23</v>
      </c>
      <c r="G7" s="1">
        <v>2249.21</v>
      </c>
    </row>
    <row r="8" spans="1:7" x14ac:dyDescent="0.25">
      <c r="A8" s="1" t="s">
        <v>12</v>
      </c>
      <c r="B8" s="1">
        <v>135.19999999999999</v>
      </c>
      <c r="C8" s="1">
        <v>194.41</v>
      </c>
      <c r="D8" s="1">
        <v>228.49</v>
      </c>
      <c r="E8" s="1">
        <v>237.54</v>
      </c>
      <c r="F8" s="1">
        <v>196.49</v>
      </c>
      <c r="G8" s="1">
        <v>227.19</v>
      </c>
    </row>
    <row r="9" spans="1:7" x14ac:dyDescent="0.25">
      <c r="A9" s="1" t="s">
        <v>13</v>
      </c>
      <c r="B9" s="1">
        <v>1134.29</v>
      </c>
      <c r="C9" s="1">
        <v>1924.66</v>
      </c>
      <c r="D9" s="1">
        <v>2262.02</v>
      </c>
      <c r="E9" s="1">
        <v>1914.15</v>
      </c>
      <c r="F9" s="1">
        <v>1945.23</v>
      </c>
      <c r="G9" s="1">
        <v>2249.21</v>
      </c>
    </row>
    <row r="10" spans="1:7" x14ac:dyDescent="0.25">
      <c r="A10" s="1" t="s">
        <v>14</v>
      </c>
      <c r="B10" s="1">
        <v>113.43</v>
      </c>
      <c r="C10" s="1">
        <v>194.41</v>
      </c>
      <c r="D10" s="1">
        <v>228.49</v>
      </c>
      <c r="E10" s="1">
        <v>193.35</v>
      </c>
      <c r="F10" s="1">
        <v>196.49</v>
      </c>
      <c r="G10" s="1">
        <v>227.19</v>
      </c>
    </row>
    <row r="11" spans="1:7" x14ac:dyDescent="0.25">
      <c r="A11" s="1" t="s">
        <v>15</v>
      </c>
      <c r="B11" s="1">
        <v>910.22</v>
      </c>
      <c r="C11" s="1">
        <v>1565.92</v>
      </c>
      <c r="D11" s="1">
        <v>2123.1</v>
      </c>
      <c r="E11" s="1">
        <v>1594.39</v>
      </c>
      <c r="F11" s="1">
        <v>2078.35</v>
      </c>
      <c r="G11" s="1">
        <v>2232.21</v>
      </c>
    </row>
    <row r="12" spans="1:7" x14ac:dyDescent="0.25">
      <c r="A12" s="1" t="s">
        <v>16</v>
      </c>
      <c r="B12" s="1">
        <v>225.35</v>
      </c>
      <c r="C12" s="1">
        <v>243.59</v>
      </c>
      <c r="D12" s="1">
        <v>262.69</v>
      </c>
      <c r="E12" s="1">
        <v>253.84</v>
      </c>
      <c r="F12" s="1">
        <v>263.79000000000002</v>
      </c>
      <c r="G12" s="1">
        <v>243.52</v>
      </c>
    </row>
    <row r="13" spans="1:7" x14ac:dyDescent="0.25">
      <c r="A13" s="1" t="s">
        <v>17</v>
      </c>
      <c r="B13" s="1">
        <v>30.45</v>
      </c>
      <c r="C13" s="1">
        <v>31.14</v>
      </c>
      <c r="D13" s="1">
        <v>28.27</v>
      </c>
      <c r="E13" s="1">
        <v>33.57</v>
      </c>
      <c r="F13" s="1">
        <v>27.41</v>
      </c>
      <c r="G13" s="1">
        <v>23.87</v>
      </c>
    </row>
    <row r="14" spans="1:7" x14ac:dyDescent="0.25">
      <c r="A14" s="1" t="s">
        <v>18</v>
      </c>
      <c r="B14" s="1">
        <v>67.66</v>
      </c>
      <c r="C14" s="1">
        <v>73.150000000000006</v>
      </c>
      <c r="D14" s="1">
        <v>72.62</v>
      </c>
      <c r="E14" s="1">
        <v>81.849999999999994</v>
      </c>
      <c r="F14" s="1">
        <v>72.349999999999994</v>
      </c>
      <c r="G14" s="1">
        <v>87.52</v>
      </c>
    </row>
    <row r="15" spans="1:7" x14ac:dyDescent="0.25">
      <c r="A15" s="1" t="s">
        <v>19</v>
      </c>
      <c r="B15" s="1">
        <v>7</v>
      </c>
      <c r="C15" s="1">
        <v>8</v>
      </c>
      <c r="D15" s="1">
        <v>8</v>
      </c>
      <c r="E15" s="1">
        <v>6</v>
      </c>
      <c r="F15" s="1">
        <v>11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1243.1400000000001</v>
      </c>
      <c r="C17" s="1">
        <v>1924.66</v>
      </c>
      <c r="D17" s="1">
        <v>2262.02</v>
      </c>
      <c r="E17" s="1">
        <v>2132.89</v>
      </c>
      <c r="F17" s="1">
        <v>1945.23</v>
      </c>
      <c r="G17" s="1">
        <v>2249.21</v>
      </c>
    </row>
    <row r="18" spans="1:7" x14ac:dyDescent="0.25">
      <c r="A18" s="1" t="s">
        <v>22</v>
      </c>
      <c r="B18" s="1">
        <v>108.85</v>
      </c>
      <c r="C18" s="1">
        <v>0</v>
      </c>
      <c r="D18" s="1">
        <v>0</v>
      </c>
      <c r="E18" s="1">
        <v>218.73</v>
      </c>
      <c r="F18" s="1">
        <v>0</v>
      </c>
      <c r="G18" s="1">
        <v>0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1.2</v>
      </c>
      <c r="C20" s="1">
        <v>0</v>
      </c>
      <c r="D20" s="1">
        <v>0</v>
      </c>
      <c r="E20" s="1">
        <v>1.5</v>
      </c>
      <c r="F20" s="1">
        <v>0</v>
      </c>
      <c r="G20" s="1">
        <v>0</v>
      </c>
    </row>
    <row r="21" spans="1:7" x14ac:dyDescent="0.25">
      <c r="A21" s="1" t="s">
        <v>25</v>
      </c>
      <c r="B21" s="1">
        <v>8.9</v>
      </c>
      <c r="C21" s="1">
        <v>10</v>
      </c>
      <c r="D21" s="1">
        <v>10</v>
      </c>
      <c r="E21" s="1">
        <v>8.5</v>
      </c>
      <c r="F21" s="1">
        <v>10</v>
      </c>
      <c r="G21" s="1">
        <v>10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2.4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2.4</v>
      </c>
      <c r="F25" s="1">
        <v>0</v>
      </c>
      <c r="G25" s="1">
        <v>0</v>
      </c>
    </row>
    <row r="26" spans="1:7" x14ac:dyDescent="0.25">
      <c r="A26" s="1" t="s">
        <v>30</v>
      </c>
      <c r="B26" s="1">
        <v>8.5</v>
      </c>
      <c r="C26" s="1">
        <v>10</v>
      </c>
      <c r="D26" s="1">
        <v>10</v>
      </c>
      <c r="E26" s="1">
        <v>7.6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15.841584158415841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24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84.158415841584173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76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121.06</v>
      </c>
      <c r="C33" s="3">
        <v>205.21</v>
      </c>
      <c r="D33" s="3">
        <v>249.91</v>
      </c>
      <c r="E33" s="3">
        <v>216.41</v>
      </c>
      <c r="F33" s="3">
        <v>228.65</v>
      </c>
      <c r="G33" s="3">
        <v>247.45</v>
      </c>
    </row>
    <row r="35" spans="1:7" x14ac:dyDescent="0.25">
      <c r="A35" s="3" t="s">
        <v>36</v>
      </c>
      <c r="B35" s="3"/>
      <c r="C35" s="3"/>
      <c r="D35" s="3">
        <f>D33-C33</f>
        <v>44.699999999999989</v>
      </c>
      <c r="E35" s="3"/>
      <c r="F35" s="3">
        <f>F33-E33</f>
        <v>12.240000000000009</v>
      </c>
      <c r="G35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004D-4573-45F5-AD0A-F3E18EBF80D2}">
  <dimension ref="A1:G35"/>
  <sheetViews>
    <sheetView topLeftCell="A10" workbookViewId="0">
      <selection activeCell="K34" sqref="K3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427.82</v>
      </c>
      <c r="C2" s="1">
        <v>413.52</v>
      </c>
      <c r="D2" s="1">
        <v>423.71</v>
      </c>
      <c r="E2" s="1">
        <v>405.95</v>
      </c>
      <c r="F2" s="1">
        <v>406.19</v>
      </c>
      <c r="G2" s="1">
        <v>423.27</v>
      </c>
    </row>
    <row r="3" spans="1:7" x14ac:dyDescent="0.25">
      <c r="A3" s="1" t="s">
        <v>7</v>
      </c>
      <c r="B3" s="1">
        <v>49.39</v>
      </c>
      <c r="C3" s="1">
        <v>41.08</v>
      </c>
      <c r="D3" s="1">
        <v>42.55</v>
      </c>
      <c r="E3" s="1">
        <v>39.71</v>
      </c>
      <c r="F3" s="1">
        <v>39.89</v>
      </c>
      <c r="G3" s="1">
        <v>43.98</v>
      </c>
    </row>
    <row r="4" spans="1:7" x14ac:dyDescent="0.25">
      <c r="A4" s="1" t="s">
        <v>8</v>
      </c>
      <c r="B4" s="1">
        <v>21559.11</v>
      </c>
      <c r="C4" s="1">
        <v>17326.21</v>
      </c>
      <c r="D4" s="1">
        <v>18316.25</v>
      </c>
      <c r="E4" s="1">
        <v>16476.259999999998</v>
      </c>
      <c r="F4" s="1">
        <v>16697.240000000002</v>
      </c>
      <c r="G4" s="1">
        <v>18927.22</v>
      </c>
    </row>
    <row r="5" spans="1:7" x14ac:dyDescent="0.25">
      <c r="A5" s="1" t="s">
        <v>9</v>
      </c>
      <c r="B5" s="1">
        <v>1052.29</v>
      </c>
      <c r="C5" s="1">
        <v>1137.25</v>
      </c>
      <c r="D5" s="1">
        <v>826.94</v>
      </c>
      <c r="E5" s="1">
        <v>2564.27</v>
      </c>
      <c r="F5" s="1">
        <v>2428.35</v>
      </c>
      <c r="G5" s="1">
        <v>1157.18</v>
      </c>
    </row>
    <row r="6" spans="1:7" x14ac:dyDescent="0.25">
      <c r="A6" s="3" t="s">
        <v>10</v>
      </c>
      <c r="B6" s="3">
        <v>105.23</v>
      </c>
      <c r="C6" s="3">
        <v>114.87</v>
      </c>
      <c r="D6" s="3">
        <v>83.53</v>
      </c>
      <c r="E6" s="3">
        <v>259.02</v>
      </c>
      <c r="F6" s="3">
        <v>245.29</v>
      </c>
      <c r="G6" s="3">
        <v>116.89</v>
      </c>
    </row>
    <row r="7" spans="1:7" x14ac:dyDescent="0.25">
      <c r="A7" s="1" t="s">
        <v>11</v>
      </c>
      <c r="B7" s="1">
        <v>986.1</v>
      </c>
      <c r="C7" s="1">
        <v>936.73</v>
      </c>
      <c r="D7" s="1">
        <v>720.46</v>
      </c>
      <c r="E7" s="1">
        <v>2287.5</v>
      </c>
      <c r="F7" s="1">
        <v>2167.2199999999998</v>
      </c>
      <c r="G7" s="1">
        <v>955.89</v>
      </c>
    </row>
    <row r="8" spans="1:7" x14ac:dyDescent="0.25">
      <c r="A8" s="1" t="s">
        <v>12</v>
      </c>
      <c r="B8" s="1">
        <v>98.61</v>
      </c>
      <c r="C8" s="1">
        <v>94.62</v>
      </c>
      <c r="D8" s="1">
        <v>72.77</v>
      </c>
      <c r="E8" s="1">
        <v>231.06</v>
      </c>
      <c r="F8" s="1">
        <v>218.91</v>
      </c>
      <c r="G8" s="1">
        <v>96.55</v>
      </c>
    </row>
    <row r="9" spans="1:7" x14ac:dyDescent="0.25">
      <c r="A9" s="1" t="s">
        <v>13</v>
      </c>
      <c r="B9" s="1">
        <v>617.9</v>
      </c>
      <c r="C9" s="1">
        <v>-565.78</v>
      </c>
      <c r="D9" s="1">
        <v>-355.68</v>
      </c>
      <c r="E9" s="1">
        <v>1973.48</v>
      </c>
      <c r="F9" s="1">
        <v>2090.21</v>
      </c>
      <c r="G9" s="1">
        <v>-457.39</v>
      </c>
    </row>
    <row r="10" spans="1:7" x14ac:dyDescent="0.25">
      <c r="A10" s="1" t="s">
        <v>14</v>
      </c>
      <c r="B10" s="1">
        <v>61.79</v>
      </c>
      <c r="C10" s="1">
        <v>-57.15</v>
      </c>
      <c r="D10" s="1">
        <v>-35.93</v>
      </c>
      <c r="E10" s="1">
        <v>199.34</v>
      </c>
      <c r="F10" s="1">
        <v>211.13</v>
      </c>
      <c r="G10" s="1">
        <v>-46.2</v>
      </c>
    </row>
    <row r="11" spans="1:7" x14ac:dyDescent="0.25">
      <c r="A11" s="1" t="s">
        <v>15</v>
      </c>
      <c r="B11" s="1">
        <v>333.02</v>
      </c>
      <c r="C11" s="1">
        <v>332.39</v>
      </c>
      <c r="D11" s="1">
        <v>222.4</v>
      </c>
      <c r="E11" s="1">
        <v>1633.25</v>
      </c>
      <c r="F11" s="1">
        <v>1572.87</v>
      </c>
      <c r="G11" s="1">
        <v>414.3</v>
      </c>
    </row>
    <row r="12" spans="1:7" x14ac:dyDescent="0.25">
      <c r="A12" s="1" t="s">
        <v>16</v>
      </c>
      <c r="B12" s="1">
        <v>224.69</v>
      </c>
      <c r="C12" s="1">
        <v>180.95</v>
      </c>
      <c r="D12" s="1">
        <v>174.92</v>
      </c>
      <c r="E12" s="1">
        <v>225.84</v>
      </c>
      <c r="F12" s="1">
        <v>212.02</v>
      </c>
      <c r="G12" s="1">
        <v>211.11</v>
      </c>
    </row>
    <row r="13" spans="1:7" x14ac:dyDescent="0.25">
      <c r="A13" s="1" t="s">
        <v>17</v>
      </c>
      <c r="B13" s="1">
        <v>25.48</v>
      </c>
      <c r="C13" s="1">
        <v>43.21</v>
      </c>
      <c r="D13" s="1">
        <v>42.02</v>
      </c>
      <c r="E13" s="1">
        <v>28.3</v>
      </c>
      <c r="F13" s="1">
        <v>28.43</v>
      </c>
      <c r="G13" s="1">
        <v>50.72</v>
      </c>
    </row>
    <row r="14" spans="1:7" x14ac:dyDescent="0.25">
      <c r="A14" s="1" t="s">
        <v>18</v>
      </c>
      <c r="B14" s="1">
        <v>69.040000000000006</v>
      </c>
      <c r="C14" s="1">
        <v>79.89</v>
      </c>
      <c r="D14" s="1">
        <v>83.12</v>
      </c>
      <c r="E14" s="1">
        <v>86.72</v>
      </c>
      <c r="F14" s="1">
        <v>100.7</v>
      </c>
      <c r="G14" s="1">
        <v>91.48</v>
      </c>
    </row>
    <row r="15" spans="1:7" x14ac:dyDescent="0.25">
      <c r="A15" s="1" t="s">
        <v>19</v>
      </c>
      <c r="B15" s="1">
        <v>4</v>
      </c>
      <c r="C15" s="1">
        <v>7</v>
      </c>
      <c r="D15" s="1">
        <v>4</v>
      </c>
      <c r="E15" s="1">
        <v>5</v>
      </c>
      <c r="F15" s="1">
        <v>4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802</v>
      </c>
      <c r="C17" s="1">
        <v>185.48</v>
      </c>
      <c r="D17" s="1">
        <v>182.39</v>
      </c>
      <c r="E17" s="1">
        <v>2130.4899999999998</v>
      </c>
      <c r="F17" s="1">
        <v>2128.7199999999998</v>
      </c>
      <c r="G17" s="1">
        <v>249.25</v>
      </c>
    </row>
    <row r="18" spans="1:7" x14ac:dyDescent="0.25">
      <c r="A18" s="1" t="s">
        <v>22</v>
      </c>
      <c r="B18" s="1">
        <v>184.1</v>
      </c>
      <c r="C18" s="1">
        <v>751.25</v>
      </c>
      <c r="D18" s="1">
        <v>538.07000000000005</v>
      </c>
      <c r="E18" s="1">
        <v>157.01</v>
      </c>
      <c r="F18" s="1">
        <v>38.51</v>
      </c>
      <c r="G18" s="1">
        <v>706.64</v>
      </c>
    </row>
    <row r="19" spans="1:7" x14ac:dyDescent="0.25">
      <c r="A19" s="1" t="s">
        <v>23</v>
      </c>
      <c r="B19" s="1">
        <v>1</v>
      </c>
      <c r="C19" s="1">
        <v>3</v>
      </c>
      <c r="D19" s="1">
        <v>3</v>
      </c>
      <c r="E19" s="1">
        <v>1</v>
      </c>
      <c r="F19" s="1">
        <v>0</v>
      </c>
      <c r="G19" s="1">
        <v>2</v>
      </c>
    </row>
    <row r="20" spans="1:7" x14ac:dyDescent="0.25">
      <c r="A20" s="1" t="s">
        <v>24</v>
      </c>
      <c r="B20" s="1">
        <v>1.9</v>
      </c>
      <c r="C20" s="1">
        <v>5.5</v>
      </c>
      <c r="D20" s="1">
        <v>6</v>
      </c>
      <c r="E20" s="1">
        <v>1.6</v>
      </c>
      <c r="F20" s="1">
        <v>0</v>
      </c>
      <c r="G20" s="1">
        <v>3.1</v>
      </c>
    </row>
    <row r="21" spans="1:7" x14ac:dyDescent="0.25">
      <c r="A21" s="1" t="s">
        <v>25</v>
      </c>
      <c r="B21" s="1">
        <v>8.1999999999999993</v>
      </c>
      <c r="C21" s="1">
        <v>4.5</v>
      </c>
      <c r="D21" s="1">
        <v>4</v>
      </c>
      <c r="E21" s="1">
        <v>8.4</v>
      </c>
      <c r="F21" s="1">
        <v>10</v>
      </c>
      <c r="G21" s="1">
        <v>6.9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2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4</v>
      </c>
    </row>
    <row r="24" spans="1:7" x14ac:dyDescent="0.25">
      <c r="A24" s="1" t="s">
        <v>28</v>
      </c>
      <c r="B24" s="1">
        <v>1.5</v>
      </c>
      <c r="C24" s="1">
        <v>4.0999999999999996</v>
      </c>
      <c r="D24" s="1">
        <v>5.2</v>
      </c>
      <c r="E24" s="1">
        <v>1.6</v>
      </c>
      <c r="F24" s="1">
        <v>0</v>
      </c>
      <c r="G24" s="1">
        <v>2.4</v>
      </c>
    </row>
    <row r="25" spans="1:7" x14ac:dyDescent="0.25">
      <c r="A25" s="1" t="s">
        <v>29</v>
      </c>
      <c r="B25" s="1">
        <v>0</v>
      </c>
      <c r="C25" s="1">
        <v>5.9</v>
      </c>
      <c r="D25" s="1">
        <v>4.8</v>
      </c>
      <c r="E25" s="1">
        <v>0</v>
      </c>
      <c r="F25" s="1">
        <v>0</v>
      </c>
      <c r="G25" s="1">
        <v>1.6</v>
      </c>
    </row>
    <row r="26" spans="1:7" x14ac:dyDescent="0.25">
      <c r="A26" s="1" t="s">
        <v>30</v>
      </c>
      <c r="B26" s="1">
        <v>8.6</v>
      </c>
      <c r="C26" s="1">
        <v>0</v>
      </c>
      <c r="D26" s="1">
        <v>0</v>
      </c>
      <c r="E26" s="1">
        <v>8.4</v>
      </c>
      <c r="F26" s="1">
        <v>10</v>
      </c>
      <c r="G26" s="1">
        <v>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14.85148514851485</v>
      </c>
      <c r="C29" s="3">
        <f t="shared" ref="C29:G29" si="1">C24/C28*100</f>
        <v>41</v>
      </c>
      <c r="D29" s="3">
        <f t="shared" si="1"/>
        <v>52</v>
      </c>
      <c r="E29" s="3">
        <f t="shared" si="1"/>
        <v>16</v>
      </c>
      <c r="F29" s="3">
        <f t="shared" si="1"/>
        <v>0</v>
      </c>
      <c r="G29" s="3">
        <f t="shared" si="1"/>
        <v>24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59.000000000000007</v>
      </c>
      <c r="D30" s="3">
        <f t="shared" si="2"/>
        <v>48</v>
      </c>
      <c r="E30" s="3">
        <f t="shared" si="2"/>
        <v>0</v>
      </c>
      <c r="F30" s="3">
        <f t="shared" si="2"/>
        <v>0</v>
      </c>
      <c r="G30" s="3">
        <f t="shared" si="2"/>
        <v>16</v>
      </c>
    </row>
    <row r="31" spans="1:7" x14ac:dyDescent="0.25">
      <c r="A31" s="3" t="s">
        <v>34</v>
      </c>
      <c r="B31" s="3">
        <f>B26/B28*100</f>
        <v>85.148514851485146</v>
      </c>
      <c r="C31" s="3">
        <f t="shared" ref="C31:G31" si="3">C26/C28*100</f>
        <v>0</v>
      </c>
      <c r="D31" s="3">
        <f t="shared" si="3"/>
        <v>0</v>
      </c>
      <c r="E31" s="3">
        <f t="shared" si="3"/>
        <v>84.000000000000014</v>
      </c>
      <c r="F31" s="3">
        <f t="shared" si="3"/>
        <v>100</v>
      </c>
      <c r="G31" s="3">
        <f t="shared" si="3"/>
        <v>60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54.4</v>
      </c>
      <c r="C33" s="3">
        <v>-57.82</v>
      </c>
      <c r="D33" s="3">
        <v>-28.51</v>
      </c>
      <c r="E33" s="3">
        <v>193.76</v>
      </c>
      <c r="F33" s="3">
        <v>230.15</v>
      </c>
      <c r="G33" s="3">
        <v>-4.9400000000000004</v>
      </c>
    </row>
    <row r="35" spans="1:7" x14ac:dyDescent="0.25">
      <c r="A35" s="3" t="s">
        <v>36</v>
      </c>
      <c r="B35" s="3"/>
      <c r="C35" s="3"/>
      <c r="D35" s="3">
        <f>D33-C33</f>
        <v>29.31</v>
      </c>
      <c r="E35" s="3"/>
      <c r="F35" s="3">
        <f>F33-E33</f>
        <v>36.390000000000015</v>
      </c>
      <c r="G35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F96F-C1FC-4E95-9EB6-1DFDF5297BB5}">
  <dimension ref="A1:G35"/>
  <sheetViews>
    <sheetView workbookViewId="0">
      <selection activeCell="K19" sqref="K1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463.22</v>
      </c>
      <c r="C2" s="1">
        <v>377.45</v>
      </c>
      <c r="D2" s="1">
        <v>421.23</v>
      </c>
      <c r="E2" s="1">
        <v>425.93</v>
      </c>
      <c r="F2" s="1">
        <v>407.11</v>
      </c>
      <c r="G2" s="1">
        <v>456.55</v>
      </c>
    </row>
    <row r="3" spans="1:7" x14ac:dyDescent="0.25">
      <c r="A3" s="1" t="s">
        <v>7</v>
      </c>
      <c r="B3" s="1">
        <v>48.26</v>
      </c>
      <c r="C3" s="1">
        <v>50.86</v>
      </c>
      <c r="D3" s="1">
        <v>47.68</v>
      </c>
      <c r="E3" s="1">
        <v>47.01</v>
      </c>
      <c r="F3" s="1">
        <v>43.54</v>
      </c>
      <c r="G3" s="1">
        <v>49.03</v>
      </c>
    </row>
    <row r="4" spans="1:7" x14ac:dyDescent="0.25">
      <c r="A4" s="1" t="s">
        <v>8</v>
      </c>
      <c r="B4" s="1">
        <v>22686.37</v>
      </c>
      <c r="C4" s="1">
        <v>19506.45</v>
      </c>
      <c r="D4" s="1">
        <v>20365.310000000001</v>
      </c>
      <c r="E4" s="1">
        <v>20322.28</v>
      </c>
      <c r="F4" s="1">
        <v>18048.8</v>
      </c>
      <c r="G4" s="1">
        <v>23028.639999999999</v>
      </c>
    </row>
    <row r="5" spans="1:7" x14ac:dyDescent="0.25">
      <c r="A5" s="1" t="s">
        <v>9</v>
      </c>
      <c r="B5" s="1">
        <v>449.98</v>
      </c>
      <c r="C5" s="1">
        <v>333.48</v>
      </c>
      <c r="D5" s="1">
        <v>967.86</v>
      </c>
      <c r="E5" s="1">
        <v>1786.17</v>
      </c>
      <c r="F5" s="1">
        <v>1704.91</v>
      </c>
      <c r="G5" s="1">
        <v>934.03</v>
      </c>
    </row>
    <row r="6" spans="1:7" x14ac:dyDescent="0.25">
      <c r="A6" s="3" t="s">
        <v>10</v>
      </c>
      <c r="B6" s="3">
        <v>45</v>
      </c>
      <c r="C6" s="3">
        <v>33.68</v>
      </c>
      <c r="D6" s="3">
        <v>97.76</v>
      </c>
      <c r="E6" s="3">
        <v>180.42</v>
      </c>
      <c r="F6" s="3">
        <v>172.21</v>
      </c>
      <c r="G6" s="3">
        <v>94.35</v>
      </c>
    </row>
    <row r="7" spans="1:7" x14ac:dyDescent="0.25">
      <c r="A7" s="1" t="s">
        <v>11</v>
      </c>
      <c r="B7" s="1">
        <v>445.3</v>
      </c>
      <c r="C7" s="1">
        <v>326.74</v>
      </c>
      <c r="D7" s="1">
        <v>907.83</v>
      </c>
      <c r="E7" s="1">
        <v>1665.61</v>
      </c>
      <c r="F7" s="1">
        <v>1498.99</v>
      </c>
      <c r="G7" s="1">
        <v>878.86</v>
      </c>
    </row>
    <row r="8" spans="1:7" x14ac:dyDescent="0.25">
      <c r="A8" s="1" t="s">
        <v>12</v>
      </c>
      <c r="B8" s="1">
        <v>44.53</v>
      </c>
      <c r="C8" s="1">
        <v>33</v>
      </c>
      <c r="D8" s="1">
        <v>91.7</v>
      </c>
      <c r="E8" s="1">
        <v>168.24</v>
      </c>
      <c r="F8" s="1">
        <v>151.41</v>
      </c>
      <c r="G8" s="1">
        <v>88.77</v>
      </c>
    </row>
    <row r="9" spans="1:7" x14ac:dyDescent="0.25">
      <c r="A9" s="1" t="s">
        <v>13</v>
      </c>
      <c r="B9" s="1">
        <v>-39.31</v>
      </c>
      <c r="C9" s="1">
        <v>-77.27</v>
      </c>
      <c r="D9" s="1">
        <v>-790.05</v>
      </c>
      <c r="E9" s="1">
        <v>989.22</v>
      </c>
      <c r="F9" s="1">
        <v>1192.69</v>
      </c>
      <c r="G9" s="1">
        <v>829.69</v>
      </c>
    </row>
    <row r="10" spans="1:7" x14ac:dyDescent="0.25">
      <c r="A10" s="1" t="s">
        <v>14</v>
      </c>
      <c r="B10" s="1">
        <v>-3.93</v>
      </c>
      <c r="C10" s="1">
        <v>-7.81</v>
      </c>
      <c r="D10" s="1">
        <v>-79.8</v>
      </c>
      <c r="E10" s="1">
        <v>99.92</v>
      </c>
      <c r="F10" s="1">
        <v>120.47</v>
      </c>
      <c r="G10" s="1">
        <v>83.81</v>
      </c>
    </row>
    <row r="11" spans="1:7" x14ac:dyDescent="0.25">
      <c r="A11" s="1" t="s">
        <v>15</v>
      </c>
      <c r="B11" s="1">
        <v>4.78</v>
      </c>
      <c r="C11" s="1">
        <v>54.61</v>
      </c>
      <c r="D11" s="1">
        <v>596.73</v>
      </c>
      <c r="E11" s="1">
        <v>634.51</v>
      </c>
      <c r="F11" s="1">
        <v>713.28</v>
      </c>
      <c r="G11" s="1">
        <v>743.65</v>
      </c>
    </row>
    <row r="12" spans="1:7" x14ac:dyDescent="0.25">
      <c r="A12" s="1" t="s">
        <v>16</v>
      </c>
      <c r="B12" s="1">
        <v>219.04</v>
      </c>
      <c r="C12" s="1">
        <v>202.05</v>
      </c>
      <c r="D12" s="1">
        <v>201.51</v>
      </c>
      <c r="E12" s="1">
        <v>232.44</v>
      </c>
      <c r="F12" s="1">
        <v>191.43</v>
      </c>
      <c r="G12" s="1">
        <v>199.73</v>
      </c>
    </row>
    <row r="13" spans="1:7" x14ac:dyDescent="0.25">
      <c r="A13" s="1" t="s">
        <v>17</v>
      </c>
      <c r="B13" s="1">
        <v>19.66</v>
      </c>
      <c r="C13" s="1">
        <v>15.12</v>
      </c>
      <c r="D13" s="1">
        <v>34.450000000000003</v>
      </c>
      <c r="E13" s="1">
        <v>28.39</v>
      </c>
      <c r="F13" s="1">
        <v>31.06</v>
      </c>
      <c r="G13" s="1">
        <v>30.05</v>
      </c>
    </row>
    <row r="14" spans="1:7" x14ac:dyDescent="0.25">
      <c r="A14" s="1" t="s">
        <v>18</v>
      </c>
      <c r="B14" s="1">
        <v>36.47</v>
      </c>
      <c r="C14" s="1">
        <v>42.66</v>
      </c>
      <c r="D14" s="1">
        <v>72.14</v>
      </c>
      <c r="E14" s="1">
        <v>58.16</v>
      </c>
      <c r="F14" s="1">
        <v>92.87</v>
      </c>
      <c r="G14" s="1">
        <v>96.11</v>
      </c>
    </row>
    <row r="15" spans="1:7" x14ac:dyDescent="0.25">
      <c r="A15" s="1" t="s">
        <v>19</v>
      </c>
      <c r="B15" s="1">
        <v>1</v>
      </c>
      <c r="C15" s="1">
        <v>2</v>
      </c>
      <c r="D15" s="1">
        <v>5</v>
      </c>
      <c r="E15" s="1">
        <v>6</v>
      </c>
      <c r="F15" s="1">
        <v>7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203</v>
      </c>
      <c r="C17" s="1">
        <v>124.74</v>
      </c>
      <c r="D17" s="1">
        <v>58.89</v>
      </c>
      <c r="E17" s="1">
        <v>1327.41</v>
      </c>
      <c r="F17" s="1">
        <v>1345.84</v>
      </c>
      <c r="G17" s="1">
        <v>854.27</v>
      </c>
    </row>
    <row r="18" spans="1:7" x14ac:dyDescent="0.25">
      <c r="A18" s="1" t="s">
        <v>22</v>
      </c>
      <c r="B18" s="1">
        <v>242.3</v>
      </c>
      <c r="C18" s="1">
        <v>202.01</v>
      </c>
      <c r="D18" s="1">
        <v>848.94</v>
      </c>
      <c r="E18" s="1">
        <v>338.19</v>
      </c>
      <c r="F18" s="1">
        <v>153.15</v>
      </c>
      <c r="G18" s="1">
        <v>24.59</v>
      </c>
    </row>
    <row r="19" spans="1:7" x14ac:dyDescent="0.25">
      <c r="A19" s="1" t="s">
        <v>23</v>
      </c>
      <c r="B19" s="1">
        <v>1</v>
      </c>
      <c r="C19" s="1">
        <v>4</v>
      </c>
      <c r="D19" s="1">
        <v>2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1.3</v>
      </c>
      <c r="C20" s="1">
        <v>7.1</v>
      </c>
      <c r="D20" s="1">
        <v>8.6999999999999993</v>
      </c>
      <c r="E20" s="1">
        <v>2.1</v>
      </c>
      <c r="F20" s="1">
        <v>1.2</v>
      </c>
      <c r="G20" s="1">
        <v>0</v>
      </c>
    </row>
    <row r="21" spans="1:7" x14ac:dyDescent="0.25">
      <c r="A21" s="1" t="s">
        <v>25</v>
      </c>
      <c r="B21" s="1">
        <v>8.8000000000000007</v>
      </c>
      <c r="C21" s="1">
        <v>2.9</v>
      </c>
      <c r="D21" s="1">
        <v>1.3</v>
      </c>
      <c r="E21" s="1">
        <v>7.9</v>
      </c>
      <c r="F21" s="1">
        <v>8.8000000000000007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1.4</v>
      </c>
      <c r="D24" s="1">
        <v>8.6999999999999993</v>
      </c>
      <c r="E24" s="1">
        <v>4.2</v>
      </c>
      <c r="F24" s="1">
        <v>2.9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7.6</v>
      </c>
      <c r="D25" s="1">
        <v>1.3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0</v>
      </c>
      <c r="C26" s="1">
        <v>1</v>
      </c>
      <c r="D26" s="1">
        <v>0</v>
      </c>
      <c r="E26" s="1">
        <v>5.8</v>
      </c>
      <c r="F26" s="1">
        <v>7.1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13.999999999999998</v>
      </c>
      <c r="D29" s="3">
        <f t="shared" si="1"/>
        <v>86.999999999999986</v>
      </c>
      <c r="E29" s="3">
        <f t="shared" si="1"/>
        <v>42.000000000000007</v>
      </c>
      <c r="F29" s="3">
        <f t="shared" si="1"/>
        <v>28.999999999999996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76</v>
      </c>
      <c r="D30" s="3">
        <f t="shared" si="2"/>
        <v>13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10</v>
      </c>
      <c r="D31" s="3">
        <f t="shared" si="3"/>
        <v>0</v>
      </c>
      <c r="E31" s="3">
        <f t="shared" si="3"/>
        <v>57.999999999999993</v>
      </c>
      <c r="F31" s="3">
        <f t="shared" si="3"/>
        <v>71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-0.8</v>
      </c>
      <c r="C33" s="3">
        <v>-4.12</v>
      </c>
      <c r="D33" s="3">
        <v>-83.71</v>
      </c>
      <c r="E33" s="3">
        <v>56.72</v>
      </c>
      <c r="F33" s="3">
        <v>107.1</v>
      </c>
      <c r="G33" s="3">
        <v>86.11</v>
      </c>
    </row>
    <row r="35" spans="1:7" x14ac:dyDescent="0.25">
      <c r="A35" s="3" t="s">
        <v>36</v>
      </c>
      <c r="B35" s="3"/>
      <c r="C35" s="3"/>
      <c r="D35" s="3">
        <f>D33-C33</f>
        <v>-79.589999999999989</v>
      </c>
      <c r="E35" s="3"/>
      <c r="F35" s="3">
        <f>F33-E33</f>
        <v>50.379999999999995</v>
      </c>
      <c r="G35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20F0-B6DE-4E05-9AAD-463B5A02A263}">
  <dimension ref="A1:G35"/>
  <sheetViews>
    <sheetView topLeftCell="A7" workbookViewId="0">
      <selection activeCell="M16" sqref="M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384.66</v>
      </c>
      <c r="C2" s="1">
        <v>397.99</v>
      </c>
      <c r="D2" s="1">
        <v>363.76</v>
      </c>
      <c r="E2" s="1">
        <v>376.27</v>
      </c>
      <c r="F2" s="1">
        <v>372.31</v>
      </c>
      <c r="G2" s="1">
        <v>465.05</v>
      </c>
    </row>
    <row r="3" spans="1:7" x14ac:dyDescent="0.25">
      <c r="A3" s="1" t="s">
        <v>7</v>
      </c>
      <c r="B3" s="1">
        <v>45.81</v>
      </c>
      <c r="C3" s="1">
        <v>42.4</v>
      </c>
      <c r="D3" s="1">
        <v>43.46</v>
      </c>
      <c r="E3" s="1">
        <v>39.340000000000003</v>
      </c>
      <c r="F3" s="1">
        <v>40.25</v>
      </c>
      <c r="G3" s="1">
        <v>43.68</v>
      </c>
    </row>
    <row r="4" spans="1:7" x14ac:dyDescent="0.25">
      <c r="A4" s="1" t="s">
        <v>8</v>
      </c>
      <c r="B4" s="1">
        <v>17923.740000000002</v>
      </c>
      <c r="C4" s="1">
        <v>17154.12</v>
      </c>
      <c r="D4" s="1">
        <v>16015.13</v>
      </c>
      <c r="E4" s="1">
        <v>15016.68</v>
      </c>
      <c r="F4" s="1">
        <v>15200.13</v>
      </c>
      <c r="G4" s="1">
        <v>20647.39</v>
      </c>
    </row>
    <row r="5" spans="1:7" x14ac:dyDescent="0.25">
      <c r="A5" s="1" t="s">
        <v>9</v>
      </c>
      <c r="B5" s="1">
        <v>448.28</v>
      </c>
      <c r="C5" s="1">
        <v>528.64</v>
      </c>
      <c r="D5" s="1">
        <v>673.92</v>
      </c>
      <c r="E5" s="1">
        <v>1366.77</v>
      </c>
      <c r="F5" s="1">
        <v>1405.87</v>
      </c>
      <c r="G5" s="1">
        <v>1383.89</v>
      </c>
    </row>
    <row r="6" spans="1:7" x14ac:dyDescent="0.25">
      <c r="A6" s="3" t="s">
        <v>10</v>
      </c>
      <c r="B6" s="3">
        <v>44.83</v>
      </c>
      <c r="C6" s="3">
        <v>53.4</v>
      </c>
      <c r="D6" s="3">
        <v>68.069999999999993</v>
      </c>
      <c r="E6" s="3">
        <v>138.06</v>
      </c>
      <c r="F6" s="3">
        <v>142.01</v>
      </c>
      <c r="G6" s="3">
        <v>141.21</v>
      </c>
    </row>
    <row r="7" spans="1:7" x14ac:dyDescent="0.25">
      <c r="A7" s="1" t="s">
        <v>11</v>
      </c>
      <c r="B7" s="1">
        <v>341.54</v>
      </c>
      <c r="C7" s="1">
        <v>440.81</v>
      </c>
      <c r="D7" s="1">
        <v>598.44000000000005</v>
      </c>
      <c r="E7" s="1">
        <v>1138.1500000000001</v>
      </c>
      <c r="F7" s="1">
        <v>1290.4000000000001</v>
      </c>
      <c r="G7" s="1">
        <v>1348.96</v>
      </c>
    </row>
    <row r="8" spans="1:7" x14ac:dyDescent="0.25">
      <c r="A8" s="1" t="s">
        <v>12</v>
      </c>
      <c r="B8" s="1">
        <v>34.15</v>
      </c>
      <c r="C8" s="1">
        <v>44.53</v>
      </c>
      <c r="D8" s="1">
        <v>60.45</v>
      </c>
      <c r="E8" s="1">
        <v>114.96</v>
      </c>
      <c r="F8" s="1">
        <v>130.34</v>
      </c>
      <c r="G8" s="1">
        <v>137.65</v>
      </c>
    </row>
    <row r="9" spans="1:7" x14ac:dyDescent="0.25">
      <c r="A9" s="1" t="s">
        <v>13</v>
      </c>
      <c r="B9" s="1">
        <v>63.16</v>
      </c>
      <c r="C9" s="1">
        <v>232.25</v>
      </c>
      <c r="D9" s="1">
        <v>-377.8</v>
      </c>
      <c r="E9" s="1">
        <v>-656.34</v>
      </c>
      <c r="F9" s="1">
        <v>1290.4000000000001</v>
      </c>
      <c r="G9" s="1">
        <v>1348.96</v>
      </c>
    </row>
    <row r="10" spans="1:7" x14ac:dyDescent="0.25">
      <c r="A10" s="1" t="s">
        <v>14</v>
      </c>
      <c r="B10" s="1">
        <v>6.32</v>
      </c>
      <c r="C10" s="1">
        <v>23.46</v>
      </c>
      <c r="D10" s="1">
        <v>-38.159999999999997</v>
      </c>
      <c r="E10" s="1">
        <v>-66.3</v>
      </c>
      <c r="F10" s="1">
        <v>130.34</v>
      </c>
      <c r="G10" s="1">
        <v>137.65</v>
      </c>
    </row>
    <row r="11" spans="1:7" x14ac:dyDescent="0.25">
      <c r="A11" s="1" t="s">
        <v>15</v>
      </c>
      <c r="B11" s="1">
        <v>48.28</v>
      </c>
      <c r="C11" s="1">
        <v>176.58</v>
      </c>
      <c r="D11" s="1">
        <v>273.41000000000003</v>
      </c>
      <c r="E11" s="1">
        <v>392.93</v>
      </c>
      <c r="F11" s="1">
        <v>1076.9000000000001</v>
      </c>
      <c r="G11" s="1">
        <v>1166.82</v>
      </c>
    </row>
    <row r="12" spans="1:7" x14ac:dyDescent="0.25">
      <c r="A12" s="1" t="s">
        <v>16</v>
      </c>
      <c r="B12" s="1">
        <v>141.62</v>
      </c>
      <c r="C12" s="1">
        <v>178.83</v>
      </c>
      <c r="D12" s="1">
        <v>169.62</v>
      </c>
      <c r="E12" s="1">
        <v>189.81</v>
      </c>
      <c r="F12" s="1">
        <v>207.14</v>
      </c>
      <c r="G12" s="1">
        <v>245.97</v>
      </c>
    </row>
    <row r="13" spans="1:7" x14ac:dyDescent="0.25">
      <c r="A13" s="1" t="s">
        <v>17</v>
      </c>
      <c r="B13" s="1">
        <v>48.85</v>
      </c>
      <c r="C13" s="1">
        <v>43.88</v>
      </c>
      <c r="D13" s="1">
        <v>37.229999999999997</v>
      </c>
      <c r="E13" s="1">
        <v>30.04</v>
      </c>
      <c r="F13" s="1">
        <v>26.59</v>
      </c>
      <c r="G13" s="1">
        <v>26.45</v>
      </c>
    </row>
    <row r="14" spans="1:7" x14ac:dyDescent="0.25">
      <c r="A14" s="1" t="s">
        <v>18</v>
      </c>
      <c r="B14" s="1">
        <v>92.31</v>
      </c>
      <c r="C14" s="1">
        <v>67.06</v>
      </c>
      <c r="D14" s="1">
        <v>58.67</v>
      </c>
      <c r="E14" s="1">
        <v>67.37</v>
      </c>
      <c r="F14" s="1">
        <v>60.77</v>
      </c>
      <c r="G14" s="1">
        <v>53.88</v>
      </c>
    </row>
    <row r="15" spans="1:7" x14ac:dyDescent="0.25">
      <c r="A15" s="1" t="s">
        <v>19</v>
      </c>
      <c r="B15" s="1">
        <v>4</v>
      </c>
      <c r="C15" s="1">
        <v>1</v>
      </c>
      <c r="D15" s="1">
        <v>6</v>
      </c>
      <c r="E15" s="1">
        <v>7</v>
      </c>
      <c r="F15" s="1">
        <v>6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202.35</v>
      </c>
      <c r="C17" s="1">
        <v>336.53</v>
      </c>
      <c r="D17" s="1">
        <v>110.32</v>
      </c>
      <c r="E17" s="1">
        <v>240.91</v>
      </c>
      <c r="F17" s="1">
        <v>1290.4000000000001</v>
      </c>
      <c r="G17" s="1">
        <v>1348.96</v>
      </c>
    </row>
    <row r="18" spans="1:7" x14ac:dyDescent="0.25">
      <c r="A18" s="1" t="s">
        <v>22</v>
      </c>
      <c r="B18" s="1">
        <v>139.19</v>
      </c>
      <c r="C18" s="1">
        <v>104.28</v>
      </c>
      <c r="D18" s="1">
        <v>488.12</v>
      </c>
      <c r="E18" s="1">
        <v>897.24</v>
      </c>
      <c r="F18" s="1">
        <v>0</v>
      </c>
      <c r="G18" s="1">
        <v>0</v>
      </c>
    </row>
    <row r="19" spans="1:7" x14ac:dyDescent="0.25">
      <c r="A19" s="1" t="s">
        <v>23</v>
      </c>
      <c r="B19" s="1">
        <v>2</v>
      </c>
      <c r="C19" s="1">
        <v>1</v>
      </c>
      <c r="D19" s="1">
        <v>3</v>
      </c>
      <c r="E19" s="1">
        <v>3</v>
      </c>
      <c r="F19" s="1">
        <v>0</v>
      </c>
      <c r="G19" s="1">
        <v>0</v>
      </c>
    </row>
    <row r="20" spans="1:7" x14ac:dyDescent="0.25">
      <c r="A20" s="1" t="s">
        <v>24</v>
      </c>
      <c r="B20" s="1">
        <v>2.4</v>
      </c>
      <c r="C20" s="1">
        <v>1.1000000000000001</v>
      </c>
      <c r="D20" s="1">
        <v>4.5</v>
      </c>
      <c r="E20" s="1">
        <v>5.9</v>
      </c>
      <c r="F20" s="1">
        <v>0</v>
      </c>
      <c r="G20" s="1">
        <v>0</v>
      </c>
    </row>
    <row r="21" spans="1:7" x14ac:dyDescent="0.25">
      <c r="A21" s="1" t="s">
        <v>25</v>
      </c>
      <c r="B21" s="1">
        <v>7.7</v>
      </c>
      <c r="C21" s="1">
        <v>8.9</v>
      </c>
      <c r="D21" s="1">
        <v>5.5</v>
      </c>
      <c r="E21" s="1">
        <v>4.0999999999999996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1</v>
      </c>
      <c r="C22" s="1">
        <v>1</v>
      </c>
      <c r="D22" s="1">
        <v>1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2.1</v>
      </c>
      <c r="C23" s="1">
        <v>1.1000000000000001</v>
      </c>
      <c r="D23" s="1">
        <v>1.5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1.3</v>
      </c>
      <c r="D24" s="1">
        <v>2.8</v>
      </c>
      <c r="E24" s="1">
        <v>5</v>
      </c>
      <c r="F24" s="1">
        <v>0</v>
      </c>
      <c r="G24" s="1">
        <v>0</v>
      </c>
    </row>
    <row r="25" spans="1:7" x14ac:dyDescent="0.25">
      <c r="A25" s="1" t="s">
        <v>29</v>
      </c>
      <c r="B25" s="1">
        <v>9.1</v>
      </c>
      <c r="C25" s="1">
        <v>4.8</v>
      </c>
      <c r="D25" s="1">
        <v>1.4</v>
      </c>
      <c r="E25" s="1">
        <v>2.9</v>
      </c>
      <c r="F25" s="1">
        <v>1.4</v>
      </c>
      <c r="G25" s="1">
        <v>0</v>
      </c>
    </row>
    <row r="26" spans="1:7" x14ac:dyDescent="0.25">
      <c r="A26" s="1" t="s">
        <v>30</v>
      </c>
      <c r="B26" s="1">
        <v>1</v>
      </c>
      <c r="C26" s="1">
        <v>3.9</v>
      </c>
      <c r="D26" s="1">
        <v>5.8</v>
      </c>
      <c r="E26" s="1">
        <v>2.1</v>
      </c>
      <c r="F26" s="1">
        <v>8.6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13</v>
      </c>
      <c r="D29" s="3">
        <f t="shared" si="1"/>
        <v>27.999999999999996</v>
      </c>
      <c r="E29" s="3">
        <f t="shared" si="1"/>
        <v>50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90.099009900990097</v>
      </c>
      <c r="C30" s="3">
        <f t="shared" ref="C30:G30" si="2">C25/C28*100</f>
        <v>48</v>
      </c>
      <c r="D30" s="3">
        <f t="shared" si="2"/>
        <v>13.999999999999998</v>
      </c>
      <c r="E30" s="3">
        <f t="shared" si="2"/>
        <v>28.999999999999996</v>
      </c>
      <c r="F30" s="3">
        <f t="shared" si="2"/>
        <v>13.999999999999998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9.9009900990099009</v>
      </c>
      <c r="C31" s="3">
        <f t="shared" ref="C31:G31" si="3">C26/C28*100</f>
        <v>39</v>
      </c>
      <c r="D31" s="3">
        <f t="shared" si="3"/>
        <v>57.999999999999993</v>
      </c>
      <c r="E31" s="3">
        <f t="shared" si="3"/>
        <v>21.000000000000004</v>
      </c>
      <c r="F31" s="3">
        <f t="shared" si="3"/>
        <v>86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-0.96</v>
      </c>
      <c r="C33" s="3">
        <v>23.18</v>
      </c>
      <c r="D33" s="3">
        <v>-22.42</v>
      </c>
      <c r="E33" s="3">
        <v>-43.05</v>
      </c>
      <c r="F33" s="3">
        <v>135.85</v>
      </c>
      <c r="G33" s="3">
        <v>140.22999999999999</v>
      </c>
    </row>
    <row r="35" spans="1:7" x14ac:dyDescent="0.25">
      <c r="A35" s="3" t="s">
        <v>36</v>
      </c>
      <c r="B35" s="3"/>
      <c r="C35" s="3"/>
      <c r="D35" s="3">
        <f>D33-C33</f>
        <v>-45.6</v>
      </c>
      <c r="E35" s="3"/>
      <c r="F35" s="3">
        <f>F33-E33</f>
        <v>178.89999999999998</v>
      </c>
      <c r="G35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F8F2-812E-455A-9675-6144801D78F7}">
  <dimension ref="A1:G35"/>
  <sheetViews>
    <sheetView topLeftCell="A7" workbookViewId="0">
      <selection activeCell="J35" sqref="J3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410.18</v>
      </c>
      <c r="C2" s="1">
        <v>375.59</v>
      </c>
      <c r="D2" s="1">
        <v>364.28</v>
      </c>
      <c r="E2" s="1">
        <v>414.96</v>
      </c>
      <c r="F2" s="1">
        <v>353.79</v>
      </c>
      <c r="G2" s="1">
        <v>404.55</v>
      </c>
    </row>
    <row r="3" spans="1:7" x14ac:dyDescent="0.25">
      <c r="A3" s="1" t="s">
        <v>7</v>
      </c>
      <c r="B3" s="1">
        <v>37.65</v>
      </c>
      <c r="C3" s="1">
        <v>36.369999999999997</v>
      </c>
      <c r="D3" s="1">
        <v>38.659999999999997</v>
      </c>
      <c r="E3" s="1">
        <v>37.659999999999997</v>
      </c>
      <c r="F3" s="1">
        <v>33.61</v>
      </c>
      <c r="G3" s="1">
        <v>38.21</v>
      </c>
    </row>
    <row r="4" spans="1:7" x14ac:dyDescent="0.25">
      <c r="A4" s="1" t="s">
        <v>8</v>
      </c>
      <c r="B4" s="1">
        <v>15685.19</v>
      </c>
      <c r="C4" s="1">
        <v>14092.32</v>
      </c>
      <c r="D4" s="1">
        <v>14322.71</v>
      </c>
      <c r="E4" s="1">
        <v>15852.37</v>
      </c>
      <c r="F4" s="1">
        <v>12172.52</v>
      </c>
      <c r="G4" s="1">
        <v>15718.86</v>
      </c>
    </row>
    <row r="5" spans="1:7" x14ac:dyDescent="0.25">
      <c r="A5" s="1" t="s">
        <v>9</v>
      </c>
      <c r="B5" s="1">
        <v>1073.3699999999999</v>
      </c>
      <c r="C5" s="1">
        <v>1327.18</v>
      </c>
      <c r="D5" s="1">
        <v>1225.0899999999999</v>
      </c>
      <c r="E5" s="1">
        <v>1747.85</v>
      </c>
      <c r="F5" s="1">
        <v>1569.03</v>
      </c>
      <c r="G5" s="1">
        <v>1212</v>
      </c>
    </row>
    <row r="6" spans="1:7" x14ac:dyDescent="0.25">
      <c r="A6" s="3" t="s">
        <v>10</v>
      </c>
      <c r="B6" s="3">
        <v>107.34</v>
      </c>
      <c r="C6" s="3">
        <v>134.06</v>
      </c>
      <c r="D6" s="3">
        <v>123.75</v>
      </c>
      <c r="E6" s="3">
        <v>176.55</v>
      </c>
      <c r="F6" s="3">
        <v>158.49</v>
      </c>
      <c r="G6" s="3">
        <v>123.67</v>
      </c>
    </row>
    <row r="7" spans="1:7" x14ac:dyDescent="0.25">
      <c r="A7" s="1" t="s">
        <v>11</v>
      </c>
      <c r="B7" s="1">
        <v>891.29</v>
      </c>
      <c r="C7" s="1">
        <v>1154.81</v>
      </c>
      <c r="D7" s="1">
        <v>1082.57</v>
      </c>
      <c r="E7" s="1">
        <v>1534.05</v>
      </c>
      <c r="F7" s="1">
        <v>1355.15</v>
      </c>
      <c r="G7" s="1">
        <v>1069.19</v>
      </c>
    </row>
    <row r="8" spans="1:7" x14ac:dyDescent="0.25">
      <c r="A8" s="1" t="s">
        <v>12</v>
      </c>
      <c r="B8" s="1">
        <v>89.13</v>
      </c>
      <c r="C8" s="1">
        <v>116.65</v>
      </c>
      <c r="D8" s="1">
        <v>109.35</v>
      </c>
      <c r="E8" s="1">
        <v>154.94999999999999</v>
      </c>
      <c r="F8" s="1">
        <v>136.88</v>
      </c>
      <c r="G8" s="1">
        <v>109.1</v>
      </c>
    </row>
    <row r="9" spans="1:7" x14ac:dyDescent="0.25">
      <c r="A9" s="1" t="s">
        <v>13</v>
      </c>
      <c r="B9" s="1">
        <v>767.52</v>
      </c>
      <c r="C9" s="1">
        <v>559.21</v>
      </c>
      <c r="D9" s="1">
        <v>334.83</v>
      </c>
      <c r="E9" s="1">
        <v>1220.0999999999999</v>
      </c>
      <c r="F9" s="1">
        <v>1257.57</v>
      </c>
      <c r="G9" s="1">
        <v>496.74</v>
      </c>
    </row>
    <row r="10" spans="1:7" x14ac:dyDescent="0.25">
      <c r="A10" s="1" t="s">
        <v>14</v>
      </c>
      <c r="B10" s="1">
        <v>76.75</v>
      </c>
      <c r="C10" s="1">
        <v>56.49</v>
      </c>
      <c r="D10" s="1">
        <v>33.82</v>
      </c>
      <c r="E10" s="1">
        <v>123.24</v>
      </c>
      <c r="F10" s="1">
        <v>127.03</v>
      </c>
      <c r="G10" s="1">
        <v>50.69</v>
      </c>
    </row>
    <row r="11" spans="1:7" x14ac:dyDescent="0.25">
      <c r="A11" s="1" t="s">
        <v>15</v>
      </c>
      <c r="B11" s="1">
        <v>463.83</v>
      </c>
      <c r="C11" s="1">
        <v>145.66999999999999</v>
      </c>
      <c r="D11" s="1">
        <v>87.38</v>
      </c>
      <c r="E11" s="1">
        <v>716.62</v>
      </c>
      <c r="F11" s="1">
        <v>1126.51</v>
      </c>
      <c r="G11" s="1">
        <v>257.08999999999997</v>
      </c>
    </row>
    <row r="12" spans="1:7" x14ac:dyDescent="0.25">
      <c r="A12" s="1" t="s">
        <v>16</v>
      </c>
      <c r="B12" s="1">
        <v>191.86</v>
      </c>
      <c r="C12" s="1">
        <v>172.93</v>
      </c>
      <c r="D12" s="1">
        <v>168.93</v>
      </c>
      <c r="E12" s="1">
        <v>219.7</v>
      </c>
      <c r="F12" s="1">
        <v>211.91</v>
      </c>
      <c r="G12" s="1">
        <v>194.57</v>
      </c>
    </row>
    <row r="13" spans="1:7" x14ac:dyDescent="0.25">
      <c r="A13" s="1" t="s">
        <v>17</v>
      </c>
      <c r="B13" s="1">
        <v>38.58</v>
      </c>
      <c r="C13" s="1">
        <v>45.31</v>
      </c>
      <c r="D13" s="1">
        <v>46.7</v>
      </c>
      <c r="E13" s="1">
        <v>36.18</v>
      </c>
      <c r="F13" s="1">
        <v>24.07</v>
      </c>
      <c r="G13" s="1">
        <v>35.03</v>
      </c>
    </row>
    <row r="14" spans="1:7" x14ac:dyDescent="0.25">
      <c r="A14" s="1" t="s">
        <v>18</v>
      </c>
      <c r="B14" s="1">
        <v>67.12</v>
      </c>
      <c r="C14" s="1">
        <v>89.99</v>
      </c>
      <c r="D14" s="1">
        <v>77.97</v>
      </c>
      <c r="E14" s="1">
        <v>81.040000000000006</v>
      </c>
      <c r="F14" s="1">
        <v>55.7</v>
      </c>
      <c r="G14" s="1">
        <v>86.93</v>
      </c>
    </row>
    <row r="15" spans="1:7" x14ac:dyDescent="0.25">
      <c r="A15" s="1" t="s">
        <v>19</v>
      </c>
      <c r="B15" s="1">
        <v>4</v>
      </c>
      <c r="C15" s="1">
        <v>4</v>
      </c>
      <c r="D15" s="1">
        <v>7</v>
      </c>
      <c r="E15" s="1">
        <v>8</v>
      </c>
      <c r="F15" s="1">
        <v>7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829.4</v>
      </c>
      <c r="C17" s="1">
        <v>857.01</v>
      </c>
      <c r="D17" s="1">
        <v>708.7</v>
      </c>
      <c r="E17" s="1">
        <v>1377.08</v>
      </c>
      <c r="F17" s="1">
        <v>1306.3599999999999</v>
      </c>
      <c r="G17" s="1">
        <v>782.96</v>
      </c>
    </row>
    <row r="18" spans="1:7" x14ac:dyDescent="0.25">
      <c r="A18" s="1" t="s">
        <v>22</v>
      </c>
      <c r="B18" s="1">
        <v>61.88</v>
      </c>
      <c r="C18" s="1">
        <v>297.8</v>
      </c>
      <c r="D18" s="1">
        <v>373.87</v>
      </c>
      <c r="E18" s="1">
        <v>156.97999999999999</v>
      </c>
      <c r="F18" s="1">
        <v>48.79</v>
      </c>
      <c r="G18" s="1">
        <v>286.22000000000003</v>
      </c>
    </row>
    <row r="19" spans="1:7" x14ac:dyDescent="0.25">
      <c r="A19" s="1" t="s">
        <v>23</v>
      </c>
      <c r="B19" s="1">
        <v>0</v>
      </c>
      <c r="C19" s="1">
        <v>2</v>
      </c>
      <c r="D19" s="1">
        <v>2</v>
      </c>
      <c r="E19" s="1">
        <v>0</v>
      </c>
      <c r="F19" s="1">
        <v>0</v>
      </c>
      <c r="G19" s="1">
        <v>2</v>
      </c>
    </row>
    <row r="20" spans="1:7" x14ac:dyDescent="0.25">
      <c r="A20" s="1" t="s">
        <v>24</v>
      </c>
      <c r="B20" s="1">
        <v>0</v>
      </c>
      <c r="C20" s="1">
        <v>3.4</v>
      </c>
      <c r="D20" s="1">
        <v>3.6</v>
      </c>
      <c r="E20" s="1">
        <v>0</v>
      </c>
      <c r="F20" s="1">
        <v>0</v>
      </c>
      <c r="G20" s="1">
        <v>2.7</v>
      </c>
    </row>
    <row r="21" spans="1:7" x14ac:dyDescent="0.25">
      <c r="A21" s="1" t="s">
        <v>25</v>
      </c>
      <c r="B21" s="1">
        <v>10.1</v>
      </c>
      <c r="C21" s="1">
        <v>6.6</v>
      </c>
      <c r="D21" s="1">
        <v>6.4</v>
      </c>
      <c r="E21" s="1">
        <v>10</v>
      </c>
      <c r="F21" s="1">
        <v>10</v>
      </c>
      <c r="G21" s="1">
        <v>7.2</v>
      </c>
    </row>
    <row r="22" spans="1:7" x14ac:dyDescent="0.25">
      <c r="A22" s="1" t="s">
        <v>26</v>
      </c>
      <c r="B22" s="1">
        <v>0</v>
      </c>
      <c r="C22" s="1">
        <v>0</v>
      </c>
      <c r="D22" s="1">
        <v>2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4.8</v>
      </c>
      <c r="E23" s="1">
        <v>0</v>
      </c>
      <c r="F23" s="1">
        <v>0</v>
      </c>
      <c r="G23" s="1">
        <v>1.4</v>
      </c>
    </row>
    <row r="24" spans="1:7" x14ac:dyDescent="0.25">
      <c r="A24" s="1" t="s">
        <v>28</v>
      </c>
      <c r="B24" s="1">
        <v>0</v>
      </c>
      <c r="C24" s="1">
        <v>2.8</v>
      </c>
      <c r="D24" s="1">
        <v>3.7</v>
      </c>
      <c r="E24" s="1">
        <v>0</v>
      </c>
      <c r="F24" s="1">
        <v>0</v>
      </c>
      <c r="G24" s="1">
        <v>2.7</v>
      </c>
    </row>
    <row r="25" spans="1:7" x14ac:dyDescent="0.25">
      <c r="A25" s="1" t="s">
        <v>29</v>
      </c>
      <c r="B25" s="1">
        <v>3.1</v>
      </c>
      <c r="C25" s="1">
        <v>1.9</v>
      </c>
      <c r="D25" s="1">
        <v>1.1000000000000001</v>
      </c>
      <c r="E25" s="1">
        <v>3.6</v>
      </c>
      <c r="F25" s="1">
        <v>0</v>
      </c>
      <c r="G25" s="1">
        <v>2.5</v>
      </c>
    </row>
    <row r="26" spans="1:7" x14ac:dyDescent="0.25">
      <c r="A26" s="1" t="s">
        <v>30</v>
      </c>
      <c r="B26" s="1">
        <v>7</v>
      </c>
      <c r="C26" s="1">
        <v>5.3</v>
      </c>
      <c r="D26" s="1">
        <v>5.2</v>
      </c>
      <c r="E26" s="1">
        <v>6.4</v>
      </c>
      <c r="F26" s="1">
        <v>10</v>
      </c>
      <c r="G26" s="1">
        <v>4.7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27.999999999999996</v>
      </c>
      <c r="D29" s="3">
        <f t="shared" si="1"/>
        <v>37</v>
      </c>
      <c r="E29" s="3">
        <f t="shared" si="1"/>
        <v>0</v>
      </c>
      <c r="F29" s="3">
        <f t="shared" si="1"/>
        <v>0</v>
      </c>
      <c r="G29" s="3">
        <f t="shared" si="1"/>
        <v>27.272727272727277</v>
      </c>
    </row>
    <row r="30" spans="1:7" x14ac:dyDescent="0.25">
      <c r="A30" s="3" t="s">
        <v>33</v>
      </c>
      <c r="B30" s="3">
        <f>B25/B28*100</f>
        <v>30.693069306930692</v>
      </c>
      <c r="C30" s="3">
        <f t="shared" ref="C30:G30" si="2">C25/C28*100</f>
        <v>19</v>
      </c>
      <c r="D30" s="3">
        <f t="shared" si="2"/>
        <v>11.000000000000002</v>
      </c>
      <c r="E30" s="3">
        <f t="shared" si="2"/>
        <v>36</v>
      </c>
      <c r="F30" s="3">
        <f t="shared" si="2"/>
        <v>0</v>
      </c>
      <c r="G30" s="3">
        <f t="shared" si="2"/>
        <v>25.252525252525253</v>
      </c>
    </row>
    <row r="31" spans="1:7" x14ac:dyDescent="0.25">
      <c r="A31" s="3" t="s">
        <v>34</v>
      </c>
      <c r="B31" s="3">
        <f>B26/B28*100</f>
        <v>69.306930693069319</v>
      </c>
      <c r="C31" s="3">
        <f t="shared" ref="C31:G31" si="3">C26/C28*100</f>
        <v>53</v>
      </c>
      <c r="D31" s="3">
        <f t="shared" si="3"/>
        <v>52</v>
      </c>
      <c r="E31" s="3">
        <f t="shared" si="3"/>
        <v>64</v>
      </c>
      <c r="F31" s="3">
        <f t="shared" si="3"/>
        <v>100</v>
      </c>
      <c r="G31" s="3">
        <f t="shared" si="3"/>
        <v>47.474747474747474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84.68</v>
      </c>
      <c r="C33" s="3">
        <v>8.93</v>
      </c>
      <c r="D33" s="3">
        <v>27.09</v>
      </c>
      <c r="E33" s="3">
        <v>135.81</v>
      </c>
      <c r="F33" s="3">
        <v>148.81</v>
      </c>
      <c r="G33" s="3">
        <v>35.74</v>
      </c>
    </row>
    <row r="35" spans="1:7" x14ac:dyDescent="0.25">
      <c r="A35" s="3" t="s">
        <v>36</v>
      </c>
      <c r="B35" s="3"/>
      <c r="C35" s="3"/>
      <c r="D35" s="3">
        <f>D33-C33</f>
        <v>18.16</v>
      </c>
      <c r="E35" s="3"/>
      <c r="F35" s="3">
        <f>F33-E33</f>
        <v>13</v>
      </c>
      <c r="G35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1ACA-EF34-4DCA-84B9-A3CFF61ED568}">
  <dimension ref="A1:G35"/>
  <sheetViews>
    <sheetView topLeftCell="A10" workbookViewId="0">
      <selection activeCell="I39" sqref="I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426.54</v>
      </c>
      <c r="C2" s="1">
        <v>482.6</v>
      </c>
      <c r="D2" s="1">
        <v>367.14</v>
      </c>
      <c r="E2" s="1">
        <v>317.56</v>
      </c>
      <c r="F2" s="1">
        <v>415.05</v>
      </c>
      <c r="G2" s="1">
        <v>390.55</v>
      </c>
    </row>
    <row r="3" spans="1:7" x14ac:dyDescent="0.25">
      <c r="A3" s="1" t="s">
        <v>7</v>
      </c>
      <c r="B3" s="1">
        <v>46.68</v>
      </c>
      <c r="C3" s="1">
        <v>33.1</v>
      </c>
      <c r="D3" s="1">
        <v>31.7</v>
      </c>
      <c r="E3" s="1">
        <v>29.9</v>
      </c>
      <c r="F3" s="1">
        <v>33.4</v>
      </c>
      <c r="G3" s="1">
        <v>35.42</v>
      </c>
    </row>
    <row r="4" spans="1:7" x14ac:dyDescent="0.25">
      <c r="A4" s="1" t="s">
        <v>8</v>
      </c>
      <c r="B4" s="1">
        <v>20167.939999999999</v>
      </c>
      <c r="C4" s="1">
        <v>16245.06</v>
      </c>
      <c r="D4" s="1">
        <v>11903.07</v>
      </c>
      <c r="E4" s="1">
        <v>9806.7199999999993</v>
      </c>
      <c r="F4" s="1">
        <v>14051.35</v>
      </c>
      <c r="G4" s="1">
        <v>14018.01</v>
      </c>
    </row>
    <row r="5" spans="1:7" x14ac:dyDescent="0.25">
      <c r="A5" s="1" t="s">
        <v>9</v>
      </c>
      <c r="B5" s="1">
        <v>321.38</v>
      </c>
      <c r="C5" s="1">
        <v>104.19</v>
      </c>
      <c r="D5" s="1">
        <v>721.99</v>
      </c>
      <c r="E5" s="1">
        <v>1550.72</v>
      </c>
      <c r="F5" s="1">
        <v>1265.52</v>
      </c>
      <c r="G5" s="1">
        <v>824.88</v>
      </c>
    </row>
    <row r="6" spans="1:7" x14ac:dyDescent="0.25">
      <c r="A6" s="3" t="s">
        <v>10</v>
      </c>
      <c r="B6" s="3">
        <v>32.14</v>
      </c>
      <c r="C6" s="3">
        <v>10.52</v>
      </c>
      <c r="D6" s="3">
        <v>72.930000000000007</v>
      </c>
      <c r="E6" s="3">
        <v>156.63999999999999</v>
      </c>
      <c r="F6" s="3">
        <v>127.83</v>
      </c>
      <c r="G6" s="3">
        <v>84.17</v>
      </c>
    </row>
    <row r="7" spans="1:7" x14ac:dyDescent="0.25">
      <c r="A7" s="1" t="s">
        <v>11</v>
      </c>
      <c r="B7" s="1">
        <v>294.13</v>
      </c>
      <c r="C7" s="1">
        <v>99.86</v>
      </c>
      <c r="D7" s="1">
        <v>621</v>
      </c>
      <c r="E7" s="1">
        <v>1445.03</v>
      </c>
      <c r="F7" s="1">
        <v>1098.25</v>
      </c>
      <c r="G7" s="1">
        <v>744.37</v>
      </c>
    </row>
    <row r="8" spans="1:7" x14ac:dyDescent="0.25">
      <c r="A8" s="1" t="s">
        <v>12</v>
      </c>
      <c r="B8" s="1">
        <v>29.41</v>
      </c>
      <c r="C8" s="1">
        <v>10.09</v>
      </c>
      <c r="D8" s="1">
        <v>62.73</v>
      </c>
      <c r="E8" s="1">
        <v>145.96</v>
      </c>
      <c r="F8" s="1">
        <v>110.93</v>
      </c>
      <c r="G8" s="1">
        <v>75.959999999999994</v>
      </c>
    </row>
    <row r="9" spans="1:7" x14ac:dyDescent="0.25">
      <c r="A9" s="1" t="s">
        <v>13</v>
      </c>
      <c r="B9" s="1">
        <v>180.49</v>
      </c>
      <c r="C9" s="1">
        <v>9.33</v>
      </c>
      <c r="D9" s="1">
        <v>-542.72</v>
      </c>
      <c r="E9" s="1">
        <v>1427.01</v>
      </c>
      <c r="F9" s="1">
        <v>1078.76</v>
      </c>
      <c r="G9" s="1">
        <v>575.54999999999995</v>
      </c>
    </row>
    <row r="10" spans="1:7" x14ac:dyDescent="0.25">
      <c r="A10" s="1" t="s">
        <v>14</v>
      </c>
      <c r="B10" s="1">
        <v>18.05</v>
      </c>
      <c r="C10" s="1">
        <v>0.94</v>
      </c>
      <c r="D10" s="1">
        <v>-54.82</v>
      </c>
      <c r="E10" s="1">
        <v>144.13999999999999</v>
      </c>
      <c r="F10" s="1">
        <v>108.97</v>
      </c>
      <c r="G10" s="1">
        <v>58.73</v>
      </c>
    </row>
    <row r="11" spans="1:7" x14ac:dyDescent="0.25">
      <c r="A11" s="1" t="s">
        <v>15</v>
      </c>
      <c r="B11" s="1">
        <v>176.37</v>
      </c>
      <c r="C11" s="1">
        <v>0.84</v>
      </c>
      <c r="D11" s="1">
        <v>469.7</v>
      </c>
      <c r="E11" s="1">
        <v>1401</v>
      </c>
      <c r="F11" s="1">
        <v>1062.99</v>
      </c>
      <c r="G11" s="1">
        <v>407.83</v>
      </c>
    </row>
    <row r="12" spans="1:7" x14ac:dyDescent="0.25">
      <c r="A12" s="1" t="s">
        <v>16</v>
      </c>
      <c r="B12" s="1">
        <v>206.65</v>
      </c>
      <c r="C12" s="1">
        <v>296.33</v>
      </c>
      <c r="D12" s="1">
        <v>216.53</v>
      </c>
      <c r="E12" s="1">
        <v>175.14</v>
      </c>
      <c r="F12" s="1">
        <v>218.53</v>
      </c>
      <c r="G12" s="1">
        <v>174.39</v>
      </c>
    </row>
    <row r="13" spans="1:7" x14ac:dyDescent="0.25">
      <c r="A13" s="1" t="s">
        <v>17</v>
      </c>
      <c r="B13" s="1">
        <v>28.57</v>
      </c>
      <c r="C13" s="1">
        <v>3.92</v>
      </c>
      <c r="D13" s="1">
        <v>19.95</v>
      </c>
      <c r="E13" s="1">
        <v>15.64</v>
      </c>
      <c r="F13" s="1">
        <v>23.55</v>
      </c>
      <c r="G13" s="1">
        <v>26.27</v>
      </c>
    </row>
    <row r="14" spans="1:7" x14ac:dyDescent="0.25">
      <c r="A14" s="1" t="s">
        <v>18</v>
      </c>
      <c r="B14" s="1">
        <v>49.06</v>
      </c>
      <c r="C14" s="1">
        <v>5.91</v>
      </c>
      <c r="D14" s="1">
        <v>57.11</v>
      </c>
      <c r="E14" s="1">
        <v>38</v>
      </c>
      <c r="F14" s="1">
        <v>74.98</v>
      </c>
      <c r="G14" s="1">
        <v>64.12</v>
      </c>
    </row>
    <row r="15" spans="1:7" x14ac:dyDescent="0.25">
      <c r="A15" s="1" t="s">
        <v>19</v>
      </c>
      <c r="B15" s="1">
        <v>2</v>
      </c>
      <c r="C15" s="1">
        <v>1</v>
      </c>
      <c r="D15" s="1">
        <v>4</v>
      </c>
      <c r="E15" s="1">
        <v>6</v>
      </c>
      <c r="F15" s="1">
        <v>6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237.31</v>
      </c>
      <c r="C17" s="1">
        <v>54.59</v>
      </c>
      <c r="D17" s="1">
        <v>39.14</v>
      </c>
      <c r="E17" s="1">
        <v>1436.02</v>
      </c>
      <c r="F17" s="1">
        <v>1088.51</v>
      </c>
      <c r="G17" s="1">
        <v>659.96</v>
      </c>
    </row>
    <row r="18" spans="1:7" x14ac:dyDescent="0.25">
      <c r="A18" s="1" t="s">
        <v>22</v>
      </c>
      <c r="B18" s="1">
        <v>56.82</v>
      </c>
      <c r="C18" s="1">
        <v>45.26</v>
      </c>
      <c r="D18" s="1">
        <v>581.86</v>
      </c>
      <c r="E18" s="1">
        <v>9.01</v>
      </c>
      <c r="F18" s="1">
        <v>9.74</v>
      </c>
      <c r="G18" s="1">
        <v>84.41</v>
      </c>
    </row>
    <row r="19" spans="1:7" x14ac:dyDescent="0.25">
      <c r="A19" s="1" t="s">
        <v>23</v>
      </c>
      <c r="B19" s="1">
        <v>1</v>
      </c>
      <c r="C19" s="1">
        <v>0</v>
      </c>
      <c r="D19" s="1">
        <v>1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1.1000000000000001</v>
      </c>
      <c r="C20" s="1">
        <v>0</v>
      </c>
      <c r="D20" s="1">
        <v>9.5</v>
      </c>
      <c r="E20" s="1">
        <v>0</v>
      </c>
      <c r="F20" s="1">
        <v>0</v>
      </c>
      <c r="G20" s="1">
        <v>1.1000000000000001</v>
      </c>
    </row>
    <row r="21" spans="1:7" x14ac:dyDescent="0.25">
      <c r="A21" s="1" t="s">
        <v>25</v>
      </c>
      <c r="B21" s="1">
        <v>9</v>
      </c>
      <c r="C21" s="1">
        <v>10</v>
      </c>
      <c r="D21" s="1">
        <v>0.5</v>
      </c>
      <c r="E21" s="1">
        <v>10</v>
      </c>
      <c r="F21" s="1">
        <v>10</v>
      </c>
      <c r="G21" s="1">
        <v>8.8000000000000007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1.7</v>
      </c>
    </row>
    <row r="24" spans="1:7" x14ac:dyDescent="0.25">
      <c r="A24" s="1" t="s">
        <v>28</v>
      </c>
      <c r="B24" s="1">
        <v>0</v>
      </c>
      <c r="C24" s="1">
        <v>0</v>
      </c>
      <c r="D24" s="1">
        <v>8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8.9</v>
      </c>
      <c r="C25" s="1">
        <v>10</v>
      </c>
      <c r="D25" s="1">
        <v>2</v>
      </c>
      <c r="E25" s="1">
        <v>0</v>
      </c>
      <c r="F25" s="1">
        <v>0</v>
      </c>
      <c r="G25" s="1">
        <v>2.1</v>
      </c>
    </row>
    <row r="26" spans="1:7" x14ac:dyDescent="0.25">
      <c r="A26" s="1" t="s">
        <v>30</v>
      </c>
      <c r="B26" s="1">
        <v>1.2</v>
      </c>
      <c r="C26" s="1">
        <v>0</v>
      </c>
      <c r="D26" s="1">
        <v>0</v>
      </c>
      <c r="E26" s="1">
        <v>10</v>
      </c>
      <c r="F26" s="1">
        <v>10</v>
      </c>
      <c r="G26" s="1">
        <v>7.8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80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88.118811881188137</v>
      </c>
      <c r="C30" s="3">
        <f t="shared" ref="C30:G30" si="2">C25/C28*100</f>
        <v>100</v>
      </c>
      <c r="D30" s="3">
        <f t="shared" si="2"/>
        <v>20</v>
      </c>
      <c r="E30" s="3">
        <f t="shared" si="2"/>
        <v>0</v>
      </c>
      <c r="F30" s="3">
        <f t="shared" si="2"/>
        <v>0</v>
      </c>
      <c r="G30" s="3">
        <f t="shared" si="2"/>
        <v>21.212121212121211</v>
      </c>
    </row>
    <row r="31" spans="1:7" x14ac:dyDescent="0.25">
      <c r="A31" s="3" t="s">
        <v>34</v>
      </c>
      <c r="B31" s="3">
        <f>B26/B28*100</f>
        <v>11.881188118811881</v>
      </c>
      <c r="C31" s="3">
        <f t="shared" ref="C31:G31" si="3">C26/C28*100</f>
        <v>0</v>
      </c>
      <c r="D31" s="3">
        <f t="shared" si="3"/>
        <v>0</v>
      </c>
      <c r="E31" s="3">
        <f t="shared" si="3"/>
        <v>100</v>
      </c>
      <c r="F31" s="3">
        <f t="shared" si="3"/>
        <v>100</v>
      </c>
      <c r="G31" s="3">
        <f t="shared" si="3"/>
        <v>78.787878787878782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16.09</v>
      </c>
      <c r="C33" s="3">
        <v>0.15</v>
      </c>
      <c r="D33" s="3">
        <v>-59.88</v>
      </c>
      <c r="E33" s="3">
        <v>152.41</v>
      </c>
      <c r="F33" s="3">
        <v>123.35</v>
      </c>
      <c r="G33" s="3">
        <v>54.92</v>
      </c>
    </row>
    <row r="35" spans="1:7" x14ac:dyDescent="0.25">
      <c r="A35" s="3" t="s">
        <v>36</v>
      </c>
      <c r="B35" s="3"/>
      <c r="C35" s="3"/>
      <c r="D35" s="3">
        <f>D33-C33</f>
        <v>-60.03</v>
      </c>
      <c r="E35" s="3"/>
      <c r="F35" s="3">
        <f>F33-E33</f>
        <v>-29.060000000000002</v>
      </c>
      <c r="G3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D600-674E-4452-A8F1-4EB47A5AE48D}">
  <dimension ref="A1:G35"/>
  <sheetViews>
    <sheetView topLeftCell="A10" workbookViewId="0">
      <selection activeCell="J25" sqref="J2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446.95</v>
      </c>
      <c r="C2" s="1">
        <v>449.76</v>
      </c>
      <c r="D2" s="1">
        <v>428.89</v>
      </c>
      <c r="E2" s="1">
        <v>444.47</v>
      </c>
      <c r="F2" s="1">
        <v>479.38</v>
      </c>
      <c r="G2" s="1">
        <v>489.62</v>
      </c>
    </row>
    <row r="3" spans="1:7" x14ac:dyDescent="0.25">
      <c r="A3" s="1" t="s">
        <v>7</v>
      </c>
      <c r="B3" s="1">
        <v>34.93</v>
      </c>
      <c r="C3" s="1">
        <v>34.880000000000003</v>
      </c>
      <c r="D3" s="1">
        <v>36.06</v>
      </c>
      <c r="E3" s="1">
        <v>39.42</v>
      </c>
      <c r="F3" s="1">
        <v>44.57</v>
      </c>
      <c r="G3" s="1">
        <v>43.66</v>
      </c>
    </row>
    <row r="4" spans="1:7" x14ac:dyDescent="0.25">
      <c r="A4" s="1" t="s">
        <v>8</v>
      </c>
      <c r="B4" s="1">
        <v>15883.84</v>
      </c>
      <c r="C4" s="1">
        <v>15956.99</v>
      </c>
      <c r="D4" s="1">
        <v>15729.4</v>
      </c>
      <c r="E4" s="1">
        <v>17836.830000000002</v>
      </c>
      <c r="F4" s="1">
        <v>21705.93</v>
      </c>
      <c r="G4" s="1">
        <v>21739.02</v>
      </c>
    </row>
    <row r="5" spans="1:7" x14ac:dyDescent="0.25">
      <c r="A5" s="1" t="s">
        <v>9</v>
      </c>
      <c r="B5" s="1">
        <v>196.7</v>
      </c>
      <c r="C5" s="1">
        <v>169.74</v>
      </c>
      <c r="D5" s="1">
        <v>758.18</v>
      </c>
      <c r="E5" s="1">
        <v>717.99</v>
      </c>
      <c r="F5" s="1">
        <v>1061.17</v>
      </c>
      <c r="G5" s="1">
        <v>352.51</v>
      </c>
    </row>
    <row r="6" spans="1:7" x14ac:dyDescent="0.25">
      <c r="A6" s="3" t="s">
        <v>10</v>
      </c>
      <c r="B6" s="3">
        <v>19.670000000000002</v>
      </c>
      <c r="C6" s="3">
        <v>17.149999999999999</v>
      </c>
      <c r="D6" s="3">
        <v>76.58</v>
      </c>
      <c r="E6" s="3">
        <v>72.52</v>
      </c>
      <c r="F6" s="3">
        <v>107.19</v>
      </c>
      <c r="G6" s="3">
        <v>35.97</v>
      </c>
    </row>
    <row r="7" spans="1:7" x14ac:dyDescent="0.25">
      <c r="A7" s="1" t="s">
        <v>11</v>
      </c>
      <c r="B7" s="1">
        <v>180.8</v>
      </c>
      <c r="C7" s="1">
        <v>152.61000000000001</v>
      </c>
      <c r="D7" s="1">
        <v>710.6</v>
      </c>
      <c r="E7" s="1">
        <v>640.07000000000005</v>
      </c>
      <c r="F7" s="1">
        <v>1020.86</v>
      </c>
      <c r="G7" s="1">
        <v>346.15</v>
      </c>
    </row>
    <row r="8" spans="1:7" x14ac:dyDescent="0.25">
      <c r="A8" s="1" t="s">
        <v>12</v>
      </c>
      <c r="B8" s="1">
        <v>18.079999999999998</v>
      </c>
      <c r="C8" s="1">
        <v>15.42</v>
      </c>
      <c r="D8" s="1">
        <v>71.78</v>
      </c>
      <c r="E8" s="1">
        <v>64.650000000000006</v>
      </c>
      <c r="F8" s="1">
        <v>103.12</v>
      </c>
      <c r="G8" s="1">
        <v>35.32</v>
      </c>
    </row>
    <row r="9" spans="1:7" x14ac:dyDescent="0.25">
      <c r="A9" s="1" t="s">
        <v>13</v>
      </c>
      <c r="B9" s="1">
        <v>33.74</v>
      </c>
      <c r="C9" s="1">
        <v>15.6</v>
      </c>
      <c r="D9" s="1">
        <v>-382.46</v>
      </c>
      <c r="E9" s="1">
        <v>402.09</v>
      </c>
      <c r="F9" s="1">
        <v>1020.86</v>
      </c>
      <c r="G9" s="1">
        <v>346.15</v>
      </c>
    </row>
    <row r="10" spans="1:7" x14ac:dyDescent="0.25">
      <c r="A10" s="1" t="s">
        <v>14</v>
      </c>
      <c r="B10" s="1">
        <v>3.37</v>
      </c>
      <c r="C10" s="1">
        <v>1.58</v>
      </c>
      <c r="D10" s="1">
        <v>-38.630000000000003</v>
      </c>
      <c r="E10" s="1">
        <v>40.619999999999997</v>
      </c>
      <c r="F10" s="1">
        <v>103.12</v>
      </c>
      <c r="G10" s="1">
        <v>35.32</v>
      </c>
    </row>
    <row r="11" spans="1:7" x14ac:dyDescent="0.25">
      <c r="A11" s="1" t="s">
        <v>15</v>
      </c>
      <c r="B11" s="1">
        <v>12.81</v>
      </c>
      <c r="C11" s="1">
        <v>6.76</v>
      </c>
      <c r="D11" s="1">
        <v>292.52999999999997</v>
      </c>
      <c r="E11" s="1">
        <v>171.49</v>
      </c>
      <c r="F11" s="1">
        <v>946.56</v>
      </c>
      <c r="G11" s="1">
        <v>315.08999999999997</v>
      </c>
    </row>
    <row r="12" spans="1:7" x14ac:dyDescent="0.25">
      <c r="A12" s="1" t="s">
        <v>16</v>
      </c>
      <c r="B12" s="1">
        <v>213.15</v>
      </c>
      <c r="C12" s="1">
        <v>186.5</v>
      </c>
      <c r="D12" s="1">
        <v>214.17</v>
      </c>
      <c r="E12" s="1">
        <v>172.55</v>
      </c>
      <c r="F12" s="1">
        <v>257.87</v>
      </c>
      <c r="G12" s="1">
        <v>231.85</v>
      </c>
    </row>
    <row r="13" spans="1:7" x14ac:dyDescent="0.25">
      <c r="A13" s="1" t="s">
        <v>17</v>
      </c>
      <c r="B13" s="1">
        <v>19.829999999999998</v>
      </c>
      <c r="C13" s="1">
        <v>21.05</v>
      </c>
      <c r="D13" s="1">
        <v>30.85</v>
      </c>
      <c r="E13" s="1">
        <v>34.700000000000003</v>
      </c>
      <c r="F13" s="1">
        <v>18.670000000000002</v>
      </c>
      <c r="G13" s="1">
        <v>18.27</v>
      </c>
    </row>
    <row r="14" spans="1:7" x14ac:dyDescent="0.25">
      <c r="A14" s="1" t="s">
        <v>18</v>
      </c>
      <c r="B14" s="1">
        <v>24.81</v>
      </c>
      <c r="C14" s="1">
        <v>25.37</v>
      </c>
      <c r="D14" s="1">
        <v>66.650000000000006</v>
      </c>
      <c r="E14" s="1">
        <v>89.75</v>
      </c>
      <c r="F14" s="1">
        <v>54.86</v>
      </c>
      <c r="G14" s="1">
        <v>45.69</v>
      </c>
    </row>
    <row r="15" spans="1:7" x14ac:dyDescent="0.25">
      <c r="A15" s="1" t="s">
        <v>19</v>
      </c>
      <c r="B15" s="1">
        <v>1</v>
      </c>
      <c r="C15" s="1">
        <v>0</v>
      </c>
      <c r="D15" s="1">
        <v>2</v>
      </c>
      <c r="E15" s="1">
        <v>7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107.27</v>
      </c>
      <c r="C17" s="1">
        <v>84.11</v>
      </c>
      <c r="D17" s="1">
        <v>164.07</v>
      </c>
      <c r="E17" s="1">
        <v>521.08000000000004</v>
      </c>
      <c r="F17" s="1">
        <v>1020.86</v>
      </c>
      <c r="G17" s="1">
        <v>346.15</v>
      </c>
    </row>
    <row r="18" spans="1:7" x14ac:dyDescent="0.25">
      <c r="A18" s="1" t="s">
        <v>22</v>
      </c>
      <c r="B18" s="1">
        <v>73.53</v>
      </c>
      <c r="C18" s="1">
        <v>68.510000000000005</v>
      </c>
      <c r="D18" s="1">
        <v>546.53</v>
      </c>
      <c r="E18" s="1">
        <v>118.99</v>
      </c>
      <c r="F18" s="1">
        <v>0</v>
      </c>
      <c r="G18" s="1">
        <v>0</v>
      </c>
    </row>
    <row r="19" spans="1:7" x14ac:dyDescent="0.25">
      <c r="A19" s="1" t="s">
        <v>23</v>
      </c>
      <c r="B19" s="1">
        <v>2</v>
      </c>
      <c r="C19" s="1">
        <v>0</v>
      </c>
      <c r="D19" s="1">
        <v>3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2.7</v>
      </c>
      <c r="C20" s="1">
        <v>0</v>
      </c>
      <c r="D20" s="1">
        <v>6.1</v>
      </c>
      <c r="E20" s="1">
        <v>2.7</v>
      </c>
      <c r="F20" s="1">
        <v>0</v>
      </c>
      <c r="G20" s="1">
        <v>0</v>
      </c>
    </row>
    <row r="21" spans="1:7" x14ac:dyDescent="0.25">
      <c r="A21" s="1" t="s">
        <v>25</v>
      </c>
      <c r="B21" s="1">
        <v>7.4</v>
      </c>
      <c r="C21" s="1">
        <v>10</v>
      </c>
      <c r="D21" s="1">
        <v>3.9</v>
      </c>
      <c r="E21" s="1">
        <v>7.3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3.5</v>
      </c>
      <c r="E24" s="1">
        <v>1.6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6.5</v>
      </c>
      <c r="E25" s="1">
        <v>4.5</v>
      </c>
      <c r="F25" s="1">
        <v>0</v>
      </c>
      <c r="G25" s="1">
        <v>1.8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3.9</v>
      </c>
      <c r="F26" s="1">
        <v>10</v>
      </c>
      <c r="G26" s="1">
        <v>8.1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35</v>
      </c>
      <c r="E29" s="3">
        <f t="shared" si="1"/>
        <v>16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65</v>
      </c>
      <c r="E30" s="3">
        <f t="shared" si="2"/>
        <v>45</v>
      </c>
      <c r="F30" s="3">
        <f t="shared" si="2"/>
        <v>0</v>
      </c>
      <c r="G30" s="3">
        <f t="shared" si="2"/>
        <v>18.181818181818183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39</v>
      </c>
      <c r="F31" s="3">
        <f t="shared" si="3"/>
        <v>100</v>
      </c>
      <c r="G31" s="3">
        <f t="shared" si="3"/>
        <v>81.818181818181813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0.48</v>
      </c>
      <c r="C33" s="3">
        <v>0.82</v>
      </c>
      <c r="D33" s="3">
        <v>-33.22</v>
      </c>
      <c r="E33" s="3">
        <v>26.31</v>
      </c>
      <c r="F33" s="3">
        <v>106.81</v>
      </c>
      <c r="G33" s="3">
        <v>37.51</v>
      </c>
    </row>
    <row r="35" spans="1:7" x14ac:dyDescent="0.25">
      <c r="A35" s="3" t="s">
        <v>36</v>
      </c>
      <c r="B35" s="3"/>
      <c r="C35" s="3"/>
      <c r="D35" s="3">
        <f>D33-C33</f>
        <v>-34.04</v>
      </c>
      <c r="E35" s="3"/>
      <c r="F35" s="3">
        <f>F33-E33</f>
        <v>80.5</v>
      </c>
      <c r="G35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02C4-CF0A-44E2-8412-976CC3851FBA}">
  <dimension ref="A1:G35"/>
  <sheetViews>
    <sheetView topLeftCell="A10" workbookViewId="0">
      <selection activeCell="J37" sqref="J3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274.77</v>
      </c>
      <c r="C2" s="1">
        <v>287.19</v>
      </c>
      <c r="D2" s="1">
        <v>252.85</v>
      </c>
      <c r="E2" s="1">
        <v>409.92</v>
      </c>
      <c r="F2" s="1">
        <v>395.94</v>
      </c>
      <c r="G2" s="1">
        <v>403.91</v>
      </c>
    </row>
    <row r="3" spans="1:7" x14ac:dyDescent="0.25">
      <c r="A3" s="1" t="s">
        <v>7</v>
      </c>
      <c r="B3" s="1">
        <v>50.39</v>
      </c>
      <c r="C3" s="1">
        <v>43.16</v>
      </c>
      <c r="D3" s="1">
        <v>40.22</v>
      </c>
      <c r="E3" s="1">
        <v>48.12</v>
      </c>
      <c r="F3" s="1">
        <v>45.64</v>
      </c>
      <c r="G3" s="1">
        <v>42.9</v>
      </c>
    </row>
    <row r="4" spans="1:7" x14ac:dyDescent="0.25">
      <c r="A4" s="1" t="s">
        <v>8</v>
      </c>
      <c r="B4" s="1">
        <v>13979.69</v>
      </c>
      <c r="C4" s="1">
        <v>12615.35</v>
      </c>
      <c r="D4" s="1">
        <v>10473.84</v>
      </c>
      <c r="E4" s="1">
        <v>20092.93</v>
      </c>
      <c r="F4" s="1">
        <v>18377.64</v>
      </c>
      <c r="G4" s="1">
        <v>17622.009999999998</v>
      </c>
    </row>
    <row r="5" spans="1:7" x14ac:dyDescent="0.25">
      <c r="A5" s="1" t="s">
        <v>9</v>
      </c>
      <c r="B5" s="1">
        <v>372.27</v>
      </c>
      <c r="C5" s="1">
        <v>245.36</v>
      </c>
      <c r="D5" s="1">
        <v>611.80999999999995</v>
      </c>
      <c r="E5" s="1">
        <v>2024.67</v>
      </c>
      <c r="F5" s="1">
        <v>1604.25</v>
      </c>
      <c r="G5" s="1">
        <v>733.47</v>
      </c>
    </row>
    <row r="6" spans="1:7" x14ac:dyDescent="0.25">
      <c r="A6" s="3" t="s">
        <v>10</v>
      </c>
      <c r="B6" s="3">
        <v>37.229999999999997</v>
      </c>
      <c r="C6" s="3">
        <v>24.78</v>
      </c>
      <c r="D6" s="3">
        <v>61.8</v>
      </c>
      <c r="E6" s="3">
        <v>204.51</v>
      </c>
      <c r="F6" s="3">
        <v>162.05000000000001</v>
      </c>
      <c r="G6" s="3">
        <v>74.84</v>
      </c>
    </row>
    <row r="7" spans="1:7" x14ac:dyDescent="0.25">
      <c r="A7" s="1" t="s">
        <v>11</v>
      </c>
      <c r="B7" s="1">
        <v>316.11</v>
      </c>
      <c r="C7" s="1">
        <v>236.33</v>
      </c>
      <c r="D7" s="1">
        <v>592.21</v>
      </c>
      <c r="E7" s="1">
        <v>1834.68</v>
      </c>
      <c r="F7" s="1">
        <v>1522.94</v>
      </c>
      <c r="G7" s="1">
        <v>645.29</v>
      </c>
    </row>
    <row r="8" spans="1:7" x14ac:dyDescent="0.25">
      <c r="A8" s="1" t="s">
        <v>12</v>
      </c>
      <c r="B8" s="1">
        <v>31.61</v>
      </c>
      <c r="C8" s="1">
        <v>23.87</v>
      </c>
      <c r="D8" s="1">
        <v>59.82</v>
      </c>
      <c r="E8" s="1">
        <v>185.32</v>
      </c>
      <c r="F8" s="1">
        <v>153.83000000000001</v>
      </c>
      <c r="G8" s="1">
        <v>65.849999999999994</v>
      </c>
    </row>
    <row r="9" spans="1:7" x14ac:dyDescent="0.25">
      <c r="A9" s="1" t="s">
        <v>13</v>
      </c>
      <c r="B9" s="1">
        <v>52.1</v>
      </c>
      <c r="C9" s="1">
        <v>-70.41</v>
      </c>
      <c r="D9" s="1">
        <v>457.84</v>
      </c>
      <c r="E9" s="1">
        <v>1829.88</v>
      </c>
      <c r="F9" s="1">
        <v>1522.94</v>
      </c>
      <c r="G9" s="1">
        <v>237.81</v>
      </c>
    </row>
    <row r="10" spans="1:7" x14ac:dyDescent="0.25">
      <c r="A10" s="1" t="s">
        <v>14</v>
      </c>
      <c r="B10" s="1">
        <v>5.21</v>
      </c>
      <c r="C10" s="1">
        <v>-7.11</v>
      </c>
      <c r="D10" s="1">
        <v>46.25</v>
      </c>
      <c r="E10" s="1">
        <v>184.84</v>
      </c>
      <c r="F10" s="1">
        <v>153.83000000000001</v>
      </c>
      <c r="G10" s="1">
        <v>24.27</v>
      </c>
    </row>
    <row r="11" spans="1:7" x14ac:dyDescent="0.25">
      <c r="A11" s="1" t="s">
        <v>15</v>
      </c>
      <c r="B11" s="1">
        <v>36.28</v>
      </c>
      <c r="C11" s="1">
        <v>9.56</v>
      </c>
      <c r="D11" s="1">
        <v>392.47</v>
      </c>
      <c r="E11" s="1">
        <v>1665.18</v>
      </c>
      <c r="F11" s="1">
        <v>1427.38</v>
      </c>
      <c r="G11" s="1">
        <v>3.89</v>
      </c>
    </row>
    <row r="12" spans="1:7" x14ac:dyDescent="0.25">
      <c r="A12" s="1" t="s">
        <v>16</v>
      </c>
      <c r="B12" s="1">
        <v>115.14</v>
      </c>
      <c r="C12" s="1">
        <v>165.62</v>
      </c>
      <c r="D12" s="1">
        <v>126.82</v>
      </c>
      <c r="E12" s="1">
        <v>210.18</v>
      </c>
      <c r="F12" s="1">
        <v>209.37</v>
      </c>
      <c r="G12" s="1">
        <v>186.09</v>
      </c>
    </row>
    <row r="13" spans="1:7" x14ac:dyDescent="0.25">
      <c r="A13" s="1" t="s">
        <v>17</v>
      </c>
      <c r="B13" s="1">
        <v>20.51</v>
      </c>
      <c r="C13" s="1">
        <v>18.12</v>
      </c>
      <c r="D13" s="1">
        <v>19.21</v>
      </c>
      <c r="E13" s="1">
        <v>29.31</v>
      </c>
      <c r="F13" s="1">
        <v>22.54</v>
      </c>
      <c r="G13" s="1">
        <v>47.12</v>
      </c>
    </row>
    <row r="14" spans="1:7" x14ac:dyDescent="0.25">
      <c r="A14" s="1" t="s">
        <v>18</v>
      </c>
      <c r="B14" s="1">
        <v>47.78</v>
      </c>
      <c r="C14" s="1">
        <v>35.54</v>
      </c>
      <c r="D14" s="1">
        <v>36.17</v>
      </c>
      <c r="E14" s="1">
        <v>60.86</v>
      </c>
      <c r="F14" s="1">
        <v>50.03</v>
      </c>
      <c r="G14" s="1">
        <v>82.26</v>
      </c>
    </row>
    <row r="15" spans="1:7" x14ac:dyDescent="0.25">
      <c r="A15" s="1" t="s">
        <v>19</v>
      </c>
      <c r="B15" s="1">
        <v>3</v>
      </c>
      <c r="C15" s="1">
        <v>3</v>
      </c>
      <c r="D15" s="1">
        <v>4</v>
      </c>
      <c r="E15" s="1">
        <v>7</v>
      </c>
      <c r="F15" s="1">
        <v>5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184.11</v>
      </c>
      <c r="C17" s="1">
        <v>82.96</v>
      </c>
      <c r="D17" s="1">
        <v>525.03</v>
      </c>
      <c r="E17" s="1">
        <v>1832.28</v>
      </c>
      <c r="F17" s="1">
        <v>1522.94</v>
      </c>
      <c r="G17" s="1">
        <v>441.55</v>
      </c>
    </row>
    <row r="18" spans="1:7" x14ac:dyDescent="0.25">
      <c r="A18" s="1" t="s">
        <v>22</v>
      </c>
      <c r="B18" s="1">
        <v>132.01</v>
      </c>
      <c r="C18" s="1">
        <v>153.37</v>
      </c>
      <c r="D18" s="1">
        <v>67.19</v>
      </c>
      <c r="E18" s="1">
        <v>2.4</v>
      </c>
      <c r="F18" s="1">
        <v>0</v>
      </c>
      <c r="G18" s="1">
        <v>203.74</v>
      </c>
    </row>
    <row r="19" spans="1:7" x14ac:dyDescent="0.25">
      <c r="A19" s="1" t="s">
        <v>23</v>
      </c>
      <c r="B19" s="1">
        <v>3</v>
      </c>
      <c r="C19" s="1">
        <v>2</v>
      </c>
      <c r="D19" s="1">
        <v>2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5.4</v>
      </c>
      <c r="C20" s="1">
        <v>5.2</v>
      </c>
      <c r="D20" s="1">
        <v>2.1</v>
      </c>
      <c r="E20" s="1">
        <v>0</v>
      </c>
      <c r="F20" s="1">
        <v>0</v>
      </c>
      <c r="G20" s="1">
        <v>1.4</v>
      </c>
    </row>
    <row r="21" spans="1:7" x14ac:dyDescent="0.25">
      <c r="A21" s="1" t="s">
        <v>25</v>
      </c>
      <c r="B21" s="1">
        <v>4.7</v>
      </c>
      <c r="C21" s="1">
        <v>4.8</v>
      </c>
      <c r="D21" s="1">
        <v>7.9</v>
      </c>
      <c r="E21" s="1">
        <v>10</v>
      </c>
      <c r="F21" s="1">
        <v>10</v>
      </c>
      <c r="G21" s="1">
        <v>8.5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2.2999999999999998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1.2</v>
      </c>
    </row>
    <row r="25" spans="1:7" x14ac:dyDescent="0.25">
      <c r="A25" s="1" t="s">
        <v>29</v>
      </c>
      <c r="B25" s="1">
        <v>10.1</v>
      </c>
      <c r="C25" s="1">
        <v>9</v>
      </c>
      <c r="D25" s="1">
        <v>5.9</v>
      </c>
      <c r="E25" s="1">
        <v>0</v>
      </c>
      <c r="F25" s="1">
        <v>0</v>
      </c>
      <c r="G25" s="1">
        <v>2.1</v>
      </c>
    </row>
    <row r="26" spans="1:7" x14ac:dyDescent="0.25">
      <c r="A26" s="1" t="s">
        <v>30</v>
      </c>
      <c r="B26" s="1">
        <v>0</v>
      </c>
      <c r="C26" s="1">
        <v>1</v>
      </c>
      <c r="D26" s="1">
        <v>4.0999999999999996</v>
      </c>
      <c r="E26" s="1">
        <v>10</v>
      </c>
      <c r="F26" s="1">
        <v>10</v>
      </c>
      <c r="G26" s="1">
        <v>6.6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12.121212121212123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90</v>
      </c>
      <c r="D30" s="3">
        <f t="shared" si="2"/>
        <v>59.000000000000007</v>
      </c>
      <c r="E30" s="3">
        <f t="shared" si="2"/>
        <v>0</v>
      </c>
      <c r="F30" s="3">
        <f t="shared" si="2"/>
        <v>0</v>
      </c>
      <c r="G30" s="3">
        <f t="shared" si="2"/>
        <v>21.212121212121215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10</v>
      </c>
      <c r="D31" s="3">
        <f t="shared" si="3"/>
        <v>41</v>
      </c>
      <c r="E31" s="3">
        <f t="shared" si="3"/>
        <v>100</v>
      </c>
      <c r="F31" s="3">
        <f t="shared" si="3"/>
        <v>100</v>
      </c>
      <c r="G31" s="3">
        <f t="shared" si="3"/>
        <v>66.666666666666671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-5.09</v>
      </c>
      <c r="C33" s="3">
        <v>0.56999999999999995</v>
      </c>
      <c r="D33" s="3">
        <v>41.11</v>
      </c>
      <c r="E33" s="3">
        <v>195.52</v>
      </c>
      <c r="F33" s="3">
        <v>160.78</v>
      </c>
      <c r="G33" s="3">
        <v>13.21</v>
      </c>
    </row>
    <row r="35" spans="1:7" x14ac:dyDescent="0.25">
      <c r="A35" s="3" t="s">
        <v>36</v>
      </c>
      <c r="B35" s="3"/>
      <c r="C35" s="3"/>
      <c r="D35" s="3">
        <f>D33-C33</f>
        <v>40.54</v>
      </c>
      <c r="E35" s="3"/>
      <c r="F35" s="3">
        <f>F33-E33</f>
        <v>-34.740000000000009</v>
      </c>
      <c r="G35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B380-D2A3-4B37-AF74-455090D827BA}">
  <dimension ref="A1:G35"/>
  <sheetViews>
    <sheetView topLeftCell="A4" workbookViewId="0">
      <selection activeCell="M17" sqref="M1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463.24</v>
      </c>
      <c r="C2" s="1">
        <v>464.43</v>
      </c>
      <c r="D2" s="1">
        <v>455.57</v>
      </c>
      <c r="E2" s="1">
        <v>412.76</v>
      </c>
      <c r="F2" s="1">
        <v>432.88</v>
      </c>
      <c r="G2" s="1">
        <v>523.03</v>
      </c>
    </row>
    <row r="3" spans="1:7" x14ac:dyDescent="0.25">
      <c r="A3" s="1" t="s">
        <v>7</v>
      </c>
      <c r="B3" s="1">
        <v>34.840000000000003</v>
      </c>
      <c r="C3" s="1">
        <v>34.78</v>
      </c>
      <c r="D3" s="1">
        <v>36.56</v>
      </c>
      <c r="E3" s="1">
        <v>43.57</v>
      </c>
      <c r="F3" s="1">
        <v>44.07</v>
      </c>
      <c r="G3" s="1">
        <v>44.85</v>
      </c>
    </row>
    <row r="4" spans="1:7" x14ac:dyDescent="0.25">
      <c r="A4" s="1" t="s">
        <v>8</v>
      </c>
      <c r="B4" s="1">
        <v>16415.900000000001</v>
      </c>
      <c r="C4" s="1">
        <v>16427.77</v>
      </c>
      <c r="D4" s="1">
        <v>16825.689999999999</v>
      </c>
      <c r="E4" s="1">
        <v>18283.52</v>
      </c>
      <c r="F4" s="1">
        <v>19422.23</v>
      </c>
      <c r="G4" s="1">
        <v>23847.85</v>
      </c>
    </row>
    <row r="5" spans="1:7" x14ac:dyDescent="0.25">
      <c r="A5" s="1" t="s">
        <v>9</v>
      </c>
      <c r="B5" s="1">
        <v>88.51</v>
      </c>
      <c r="C5" s="1">
        <v>82.88</v>
      </c>
      <c r="D5" s="1">
        <v>455.9</v>
      </c>
      <c r="E5" s="1">
        <v>577.24</v>
      </c>
      <c r="F5" s="1">
        <v>461.45</v>
      </c>
      <c r="G5" s="1">
        <v>135.99</v>
      </c>
    </row>
    <row r="6" spans="1:7" x14ac:dyDescent="0.25">
      <c r="A6" s="3" t="s">
        <v>10</v>
      </c>
      <c r="B6" s="3">
        <v>8.85</v>
      </c>
      <c r="C6" s="3">
        <v>8.3699999999999992</v>
      </c>
      <c r="D6" s="3">
        <v>46.05</v>
      </c>
      <c r="E6" s="3">
        <v>58.31</v>
      </c>
      <c r="F6" s="3">
        <v>46.61</v>
      </c>
      <c r="G6" s="3">
        <v>13.74</v>
      </c>
    </row>
    <row r="7" spans="1:7" x14ac:dyDescent="0.25">
      <c r="A7" s="1" t="s">
        <v>11</v>
      </c>
      <c r="B7" s="1">
        <v>79.14</v>
      </c>
      <c r="C7" s="1">
        <v>72.23</v>
      </c>
      <c r="D7" s="1">
        <v>422.62</v>
      </c>
      <c r="E7" s="1">
        <v>475.85</v>
      </c>
      <c r="F7" s="1">
        <v>380.84</v>
      </c>
      <c r="G7" s="1">
        <v>124.91</v>
      </c>
    </row>
    <row r="8" spans="1:7" x14ac:dyDescent="0.25">
      <c r="A8" s="1" t="s">
        <v>12</v>
      </c>
      <c r="B8" s="1">
        <v>7.91</v>
      </c>
      <c r="C8" s="1">
        <v>7.3</v>
      </c>
      <c r="D8" s="1">
        <v>42.69</v>
      </c>
      <c r="E8" s="1">
        <v>48.07</v>
      </c>
      <c r="F8" s="1">
        <v>38.47</v>
      </c>
      <c r="G8" s="1">
        <v>12.62</v>
      </c>
    </row>
    <row r="9" spans="1:7" x14ac:dyDescent="0.25">
      <c r="A9" s="1" t="s">
        <v>13</v>
      </c>
      <c r="B9" s="1">
        <v>8.86</v>
      </c>
      <c r="C9" s="1">
        <v>-8.32</v>
      </c>
      <c r="D9" s="1">
        <v>-237.94</v>
      </c>
      <c r="E9" s="1">
        <v>-188.51</v>
      </c>
      <c r="F9" s="1">
        <v>290.52</v>
      </c>
      <c r="G9" s="1">
        <v>35.44</v>
      </c>
    </row>
    <row r="10" spans="1:7" x14ac:dyDescent="0.25">
      <c r="A10" s="1" t="s">
        <v>14</v>
      </c>
      <c r="B10" s="1">
        <v>0.89</v>
      </c>
      <c r="C10" s="1">
        <v>-0.84</v>
      </c>
      <c r="D10" s="1">
        <v>-24.03</v>
      </c>
      <c r="E10" s="1">
        <v>-19.04</v>
      </c>
      <c r="F10" s="1">
        <v>29.35</v>
      </c>
      <c r="G10" s="1">
        <v>3.58</v>
      </c>
    </row>
    <row r="11" spans="1:7" x14ac:dyDescent="0.25">
      <c r="A11" s="1" t="s">
        <v>15</v>
      </c>
      <c r="B11" s="1">
        <v>4.09</v>
      </c>
      <c r="C11" s="1">
        <v>0.59</v>
      </c>
      <c r="D11" s="1">
        <v>125.49</v>
      </c>
      <c r="E11" s="1">
        <v>75.260000000000005</v>
      </c>
      <c r="F11" s="1">
        <v>207.16</v>
      </c>
      <c r="G11" s="1">
        <v>23.71</v>
      </c>
    </row>
    <row r="12" spans="1:7" x14ac:dyDescent="0.25">
      <c r="A12" s="1" t="s">
        <v>16</v>
      </c>
      <c r="B12" s="1">
        <v>181.99</v>
      </c>
      <c r="C12" s="1">
        <v>178.5</v>
      </c>
      <c r="D12" s="1">
        <v>217.57</v>
      </c>
      <c r="E12" s="1">
        <v>137.19999999999999</v>
      </c>
      <c r="F12" s="1">
        <v>186.19</v>
      </c>
      <c r="G12" s="1">
        <v>286.70999999999998</v>
      </c>
    </row>
    <row r="13" spans="1:7" x14ac:dyDescent="0.25">
      <c r="A13" s="1" t="s">
        <v>17</v>
      </c>
      <c r="B13" s="1">
        <v>20.2</v>
      </c>
      <c r="C13" s="1">
        <v>20.11</v>
      </c>
      <c r="D13" s="1">
        <v>23.71</v>
      </c>
      <c r="E13" s="1">
        <v>38.44</v>
      </c>
      <c r="F13" s="1">
        <v>42.67</v>
      </c>
      <c r="G13" s="1">
        <v>19.510000000000002</v>
      </c>
    </row>
    <row r="14" spans="1:7" x14ac:dyDescent="0.25">
      <c r="A14" s="1" t="s">
        <v>18</v>
      </c>
      <c r="B14" s="1">
        <v>23.25</v>
      </c>
      <c r="C14" s="1">
        <v>23.8</v>
      </c>
      <c r="D14" s="1">
        <v>91.84</v>
      </c>
      <c r="E14" s="1">
        <v>71.92</v>
      </c>
      <c r="F14" s="1">
        <v>81.290000000000006</v>
      </c>
      <c r="G14" s="1">
        <v>24.76</v>
      </c>
    </row>
    <row r="15" spans="1:7" x14ac:dyDescent="0.25">
      <c r="A15" s="1" t="s">
        <v>19</v>
      </c>
      <c r="B15" s="1">
        <v>0</v>
      </c>
      <c r="C15" s="1">
        <v>1</v>
      </c>
      <c r="D15" s="1">
        <v>2</v>
      </c>
      <c r="E15" s="1">
        <v>6</v>
      </c>
      <c r="F15" s="1">
        <v>2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44</v>
      </c>
      <c r="C17" s="1">
        <v>31.96</v>
      </c>
      <c r="D17" s="1">
        <v>92.34</v>
      </c>
      <c r="E17" s="1">
        <v>143.66999999999999</v>
      </c>
      <c r="F17" s="1">
        <v>335.68</v>
      </c>
      <c r="G17" s="1">
        <v>80.180000000000007</v>
      </c>
    </row>
    <row r="18" spans="1:7" x14ac:dyDescent="0.25">
      <c r="A18" s="1" t="s">
        <v>22</v>
      </c>
      <c r="B18" s="1">
        <v>35.14</v>
      </c>
      <c r="C18" s="1">
        <v>40.28</v>
      </c>
      <c r="D18" s="1">
        <v>330.28</v>
      </c>
      <c r="E18" s="1">
        <v>332.18</v>
      </c>
      <c r="F18" s="1">
        <v>45.16</v>
      </c>
      <c r="G18" s="1">
        <v>44.73</v>
      </c>
    </row>
    <row r="19" spans="1:7" x14ac:dyDescent="0.25">
      <c r="A19" s="1" t="s">
        <v>23</v>
      </c>
      <c r="B19" s="1">
        <v>2</v>
      </c>
      <c r="C19" s="1">
        <v>0</v>
      </c>
      <c r="D19" s="1">
        <v>3</v>
      </c>
      <c r="E19" s="1">
        <v>2</v>
      </c>
      <c r="F19" s="1">
        <v>1</v>
      </c>
      <c r="G19" s="1">
        <v>3</v>
      </c>
    </row>
    <row r="20" spans="1:7" x14ac:dyDescent="0.25">
      <c r="A20" s="1" t="s">
        <v>24</v>
      </c>
      <c r="B20" s="1">
        <v>2.8</v>
      </c>
      <c r="C20" s="1">
        <v>0</v>
      </c>
      <c r="D20" s="1">
        <v>6.1</v>
      </c>
      <c r="E20" s="1">
        <v>2.9</v>
      </c>
      <c r="F20" s="1">
        <v>1.6</v>
      </c>
      <c r="G20" s="1">
        <v>3.3</v>
      </c>
    </row>
    <row r="21" spans="1:7" x14ac:dyDescent="0.25">
      <c r="A21" s="1" t="s">
        <v>25</v>
      </c>
      <c r="B21" s="1">
        <v>7.3</v>
      </c>
      <c r="C21" s="1">
        <v>10</v>
      </c>
      <c r="D21" s="1">
        <v>3.9</v>
      </c>
      <c r="E21" s="1">
        <v>7.1</v>
      </c>
      <c r="F21" s="1">
        <v>8.4</v>
      </c>
      <c r="G21" s="1">
        <v>6.7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2.5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1.3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6.5</v>
      </c>
      <c r="E25" s="1">
        <v>10</v>
      </c>
      <c r="F25" s="1">
        <v>6</v>
      </c>
      <c r="G25" s="1">
        <v>10</v>
      </c>
    </row>
    <row r="26" spans="1:7" x14ac:dyDescent="0.25">
      <c r="A26" s="1" t="s">
        <v>30</v>
      </c>
      <c r="B26" s="1">
        <v>0</v>
      </c>
      <c r="C26" s="1">
        <v>0</v>
      </c>
      <c r="D26" s="1">
        <v>2.2000000000000002</v>
      </c>
      <c r="E26" s="1">
        <v>0</v>
      </c>
      <c r="F26" s="1">
        <v>4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13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65</v>
      </c>
      <c r="E30" s="3">
        <f t="shared" si="2"/>
        <v>100</v>
      </c>
      <c r="F30" s="3">
        <f t="shared" si="2"/>
        <v>60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22.000000000000004</v>
      </c>
      <c r="E31" s="3">
        <f t="shared" si="3"/>
        <v>0</v>
      </c>
      <c r="F31" s="3">
        <f t="shared" si="3"/>
        <v>40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0.44</v>
      </c>
      <c r="C33" s="3">
        <v>0.56999999999999995</v>
      </c>
      <c r="D33" s="3">
        <v>-15.18</v>
      </c>
      <c r="E33" s="3">
        <v>-1.47</v>
      </c>
      <c r="F33" s="3">
        <v>30.06</v>
      </c>
      <c r="G33" s="3">
        <v>1.76</v>
      </c>
    </row>
    <row r="35" spans="1:7" x14ac:dyDescent="0.25">
      <c r="A35" s="3" t="s">
        <v>36</v>
      </c>
      <c r="B35" s="3"/>
      <c r="C35" s="3"/>
      <c r="D35" s="3">
        <f>D33-C33</f>
        <v>-15.75</v>
      </c>
      <c r="E35" s="3"/>
      <c r="F35" s="3">
        <f>F33-E33</f>
        <v>31.529999999999998</v>
      </c>
      <c r="G35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5FB3-380A-4FF2-84B4-C39827CB1565}">
  <dimension ref="A1:G35"/>
  <sheetViews>
    <sheetView topLeftCell="A10" workbookViewId="0">
      <selection activeCell="M32" sqref="M3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471</v>
      </c>
      <c r="C2" s="1">
        <v>469.61</v>
      </c>
      <c r="D2" s="1">
        <v>495.3</v>
      </c>
      <c r="E2" s="1">
        <v>239.05</v>
      </c>
      <c r="F2" s="1">
        <v>421.71</v>
      </c>
      <c r="G2" s="1">
        <v>483.44</v>
      </c>
    </row>
    <row r="3" spans="1:7" x14ac:dyDescent="0.25">
      <c r="A3" s="1" t="s">
        <v>7</v>
      </c>
      <c r="B3" s="1">
        <v>38.86</v>
      </c>
      <c r="C3" s="1">
        <v>38.92</v>
      </c>
      <c r="D3" s="1">
        <v>36.340000000000003</v>
      </c>
      <c r="E3" s="1">
        <v>28.86</v>
      </c>
      <c r="F3" s="1">
        <v>39.409999999999997</v>
      </c>
      <c r="G3" s="1">
        <v>36.700000000000003</v>
      </c>
    </row>
    <row r="4" spans="1:7" x14ac:dyDescent="0.25">
      <c r="A4" s="1" t="s">
        <v>8</v>
      </c>
      <c r="B4" s="1">
        <v>18616.78</v>
      </c>
      <c r="C4" s="1">
        <v>18589.79</v>
      </c>
      <c r="D4" s="1">
        <v>18270.59</v>
      </c>
      <c r="E4" s="1">
        <v>7354.75</v>
      </c>
      <c r="F4" s="1">
        <v>16915.11</v>
      </c>
      <c r="G4" s="1">
        <v>18042.419999999998</v>
      </c>
    </row>
    <row r="5" spans="1:7" x14ac:dyDescent="0.25">
      <c r="A5" s="1" t="s">
        <v>9</v>
      </c>
      <c r="B5" s="1">
        <v>111.82</v>
      </c>
      <c r="C5" s="1">
        <v>90.96</v>
      </c>
      <c r="D5" s="1">
        <v>552.99</v>
      </c>
      <c r="E5" s="1">
        <v>741.74</v>
      </c>
      <c r="F5" s="1">
        <v>667.6</v>
      </c>
      <c r="G5" s="1">
        <v>133.06</v>
      </c>
    </row>
    <row r="6" spans="1:7" x14ac:dyDescent="0.25">
      <c r="A6" s="3" t="s">
        <v>10</v>
      </c>
      <c r="B6" s="3">
        <v>11.18</v>
      </c>
      <c r="C6" s="3">
        <v>9.19</v>
      </c>
      <c r="D6" s="3">
        <v>55.86</v>
      </c>
      <c r="E6" s="3">
        <v>74.92</v>
      </c>
      <c r="F6" s="3">
        <v>67.430000000000007</v>
      </c>
      <c r="G6" s="3">
        <v>13.44</v>
      </c>
    </row>
    <row r="7" spans="1:7" x14ac:dyDescent="0.25">
      <c r="A7" s="1" t="s">
        <v>11</v>
      </c>
      <c r="B7" s="1">
        <v>102.26</v>
      </c>
      <c r="C7" s="1">
        <v>81.96</v>
      </c>
      <c r="D7" s="1">
        <v>474.13</v>
      </c>
      <c r="E7" s="1">
        <v>630.74</v>
      </c>
      <c r="F7" s="1">
        <v>636.34</v>
      </c>
      <c r="G7" s="1">
        <v>123.97</v>
      </c>
    </row>
    <row r="8" spans="1:7" x14ac:dyDescent="0.25">
      <c r="A8" s="1" t="s">
        <v>12</v>
      </c>
      <c r="B8" s="1">
        <v>10.23</v>
      </c>
      <c r="C8" s="1">
        <v>8.2799999999999994</v>
      </c>
      <c r="D8" s="1">
        <v>47.89</v>
      </c>
      <c r="E8" s="1">
        <v>63.71</v>
      </c>
      <c r="F8" s="1">
        <v>64.28</v>
      </c>
      <c r="G8" s="1">
        <v>12.52</v>
      </c>
    </row>
    <row r="9" spans="1:7" x14ac:dyDescent="0.25">
      <c r="A9" s="1" t="s">
        <v>13</v>
      </c>
      <c r="B9" s="1">
        <v>-14.07</v>
      </c>
      <c r="C9" s="1">
        <v>8.93</v>
      </c>
      <c r="D9" s="1">
        <v>-226.14</v>
      </c>
      <c r="E9" s="1">
        <v>232.25</v>
      </c>
      <c r="F9" s="1">
        <v>550.33000000000004</v>
      </c>
      <c r="G9" s="1">
        <v>-16.690000000000001</v>
      </c>
    </row>
    <row r="10" spans="1:7" x14ac:dyDescent="0.25">
      <c r="A10" s="1" t="s">
        <v>14</v>
      </c>
      <c r="B10" s="1">
        <v>-1.41</v>
      </c>
      <c r="C10" s="1">
        <v>0.9</v>
      </c>
      <c r="D10" s="1">
        <v>-22.84</v>
      </c>
      <c r="E10" s="1">
        <v>23.46</v>
      </c>
      <c r="F10" s="1">
        <v>55.59</v>
      </c>
      <c r="G10" s="1">
        <v>-1.69</v>
      </c>
    </row>
    <row r="11" spans="1:7" x14ac:dyDescent="0.25">
      <c r="A11" s="1" t="s">
        <v>15</v>
      </c>
      <c r="B11" s="1">
        <v>0.57999999999999996</v>
      </c>
      <c r="C11" s="1">
        <v>0.96</v>
      </c>
      <c r="D11" s="1">
        <v>155.79</v>
      </c>
      <c r="E11" s="1">
        <v>153.94</v>
      </c>
      <c r="F11" s="1">
        <v>504.74</v>
      </c>
      <c r="G11" s="1">
        <v>6.1</v>
      </c>
    </row>
    <row r="12" spans="1:7" x14ac:dyDescent="0.25">
      <c r="A12" s="1" t="s">
        <v>16</v>
      </c>
      <c r="B12" s="1">
        <v>216.62</v>
      </c>
      <c r="C12" s="1">
        <v>204.83</v>
      </c>
      <c r="D12" s="1">
        <v>139.49</v>
      </c>
      <c r="E12" s="1">
        <v>114.84</v>
      </c>
      <c r="F12" s="1">
        <v>206.14</v>
      </c>
      <c r="G12" s="1">
        <v>244.72</v>
      </c>
    </row>
    <row r="13" spans="1:7" x14ac:dyDescent="0.25">
      <c r="A13" s="1" t="s">
        <v>17</v>
      </c>
      <c r="B13" s="1">
        <v>8.66</v>
      </c>
      <c r="C13" s="1">
        <v>7.99</v>
      </c>
      <c r="D13" s="1">
        <v>58.47</v>
      </c>
      <c r="E13" s="1">
        <v>24.43</v>
      </c>
      <c r="F13" s="1">
        <v>18.02</v>
      </c>
      <c r="G13" s="1">
        <v>30.33</v>
      </c>
    </row>
    <row r="14" spans="1:7" x14ac:dyDescent="0.25">
      <c r="A14" s="1" t="s">
        <v>18</v>
      </c>
      <c r="B14" s="1">
        <v>14.08</v>
      </c>
      <c r="C14" s="1">
        <v>11.24</v>
      </c>
      <c r="D14" s="1">
        <v>102.27</v>
      </c>
      <c r="E14" s="1">
        <v>53.96</v>
      </c>
      <c r="F14" s="1">
        <v>38.93</v>
      </c>
      <c r="G14" s="1">
        <v>36.58</v>
      </c>
    </row>
    <row r="15" spans="1:7" x14ac:dyDescent="0.25">
      <c r="A15" s="1" t="s">
        <v>19</v>
      </c>
      <c r="B15" s="1">
        <v>0</v>
      </c>
      <c r="C15" s="1">
        <v>0</v>
      </c>
      <c r="D15" s="1">
        <v>3</v>
      </c>
      <c r="E15" s="1">
        <v>4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44.09</v>
      </c>
      <c r="C17" s="1">
        <v>45.44</v>
      </c>
      <c r="D17" s="1">
        <v>123.99</v>
      </c>
      <c r="E17" s="1">
        <v>431.5</v>
      </c>
      <c r="F17" s="1">
        <v>593.34</v>
      </c>
      <c r="G17" s="1">
        <v>53.64</v>
      </c>
    </row>
    <row r="18" spans="1:7" x14ac:dyDescent="0.25">
      <c r="A18" s="1" t="s">
        <v>22</v>
      </c>
      <c r="B18" s="1">
        <v>58.17</v>
      </c>
      <c r="C18" s="1">
        <v>36.520000000000003</v>
      </c>
      <c r="D18" s="1">
        <v>350.14</v>
      </c>
      <c r="E18" s="1">
        <v>199.25</v>
      </c>
      <c r="F18" s="1">
        <v>43.01</v>
      </c>
      <c r="G18" s="1">
        <v>70.33</v>
      </c>
    </row>
    <row r="19" spans="1:7" x14ac:dyDescent="0.25">
      <c r="A19" s="1" t="s">
        <v>23</v>
      </c>
      <c r="B19" s="1">
        <v>1</v>
      </c>
      <c r="C19" s="1">
        <v>1</v>
      </c>
      <c r="D19" s="1">
        <v>2</v>
      </c>
      <c r="E19" s="1">
        <v>1</v>
      </c>
      <c r="F19" s="1">
        <v>0</v>
      </c>
      <c r="G19" s="1">
        <v>1</v>
      </c>
    </row>
    <row r="20" spans="1:7" x14ac:dyDescent="0.25">
      <c r="A20" s="1" t="s">
        <v>24</v>
      </c>
      <c r="B20" s="1">
        <v>1.3</v>
      </c>
      <c r="C20" s="1">
        <v>1.2</v>
      </c>
      <c r="D20" s="1">
        <v>6.1</v>
      </c>
      <c r="E20" s="1">
        <v>1.5</v>
      </c>
      <c r="F20" s="1">
        <v>0</v>
      </c>
      <c r="G20" s="1">
        <v>1.4</v>
      </c>
    </row>
    <row r="21" spans="1:7" x14ac:dyDescent="0.25">
      <c r="A21" s="1" t="s">
        <v>25</v>
      </c>
      <c r="B21" s="1">
        <v>8.8000000000000007</v>
      </c>
      <c r="C21" s="1">
        <v>8.8000000000000007</v>
      </c>
      <c r="D21" s="1">
        <v>3.9</v>
      </c>
      <c r="E21" s="1">
        <v>8.5</v>
      </c>
      <c r="F21" s="1">
        <v>10</v>
      </c>
      <c r="G21" s="1">
        <v>8.6</v>
      </c>
    </row>
    <row r="22" spans="1:7" x14ac:dyDescent="0.25">
      <c r="A22" s="1" t="s">
        <v>26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1.8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5.4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3.6</v>
      </c>
      <c r="E25" s="1">
        <v>4</v>
      </c>
      <c r="F25" s="1">
        <v>4.7</v>
      </c>
      <c r="G25" s="1">
        <v>10</v>
      </c>
    </row>
    <row r="26" spans="1:7" x14ac:dyDescent="0.25">
      <c r="A26" s="1" t="s">
        <v>30</v>
      </c>
      <c r="B26" s="1">
        <v>0</v>
      </c>
      <c r="C26" s="1">
        <v>0</v>
      </c>
      <c r="D26" s="1">
        <v>1</v>
      </c>
      <c r="E26" s="1">
        <v>6</v>
      </c>
      <c r="F26" s="1">
        <v>5.3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54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36</v>
      </c>
      <c r="E30" s="3">
        <f t="shared" si="2"/>
        <v>40</v>
      </c>
      <c r="F30" s="3">
        <f t="shared" si="2"/>
        <v>47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10</v>
      </c>
      <c r="E31" s="3">
        <f t="shared" si="3"/>
        <v>60</v>
      </c>
      <c r="F31" s="3">
        <f t="shared" si="3"/>
        <v>53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0.34</v>
      </c>
      <c r="C33" s="3">
        <v>-0.04</v>
      </c>
      <c r="D33" s="3">
        <v>-17.510000000000002</v>
      </c>
      <c r="E33" s="3">
        <v>28.91</v>
      </c>
      <c r="F33" s="3">
        <v>57.57</v>
      </c>
      <c r="G33" s="3">
        <v>-0.18</v>
      </c>
    </row>
    <row r="35" spans="1:7" x14ac:dyDescent="0.25">
      <c r="A35" s="3" t="s">
        <v>36</v>
      </c>
      <c r="B35" s="3"/>
      <c r="C35" s="3"/>
      <c r="D35" s="3">
        <f>D33-C33</f>
        <v>-17.470000000000002</v>
      </c>
      <c r="E35" s="3"/>
      <c r="F35" s="3">
        <f>F33-E33</f>
        <v>28.66</v>
      </c>
      <c r="G35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8A9D-0FA8-4B6C-B52C-C790F07C2B85}">
  <dimension ref="A1:G35"/>
  <sheetViews>
    <sheetView topLeftCell="A10" workbookViewId="0">
      <selection activeCell="L23" sqref="L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453.67</v>
      </c>
      <c r="C2" s="1">
        <v>330.08</v>
      </c>
      <c r="D2" s="1">
        <v>383.27</v>
      </c>
      <c r="E2" s="1">
        <v>439.95</v>
      </c>
      <c r="F2" s="1">
        <v>482.22</v>
      </c>
      <c r="G2" s="1">
        <v>473.28</v>
      </c>
    </row>
    <row r="3" spans="1:7" x14ac:dyDescent="0.25">
      <c r="A3" s="1" t="s">
        <v>7</v>
      </c>
      <c r="B3" s="1">
        <v>38.979999999999997</v>
      </c>
      <c r="C3" s="1">
        <v>38.65</v>
      </c>
      <c r="D3" s="1">
        <v>38.31</v>
      </c>
      <c r="E3" s="1">
        <v>39</v>
      </c>
      <c r="F3" s="1">
        <v>42.31</v>
      </c>
      <c r="G3" s="1">
        <v>42.57</v>
      </c>
    </row>
    <row r="4" spans="1:7" x14ac:dyDescent="0.25">
      <c r="A4" s="1" t="s">
        <v>8</v>
      </c>
      <c r="B4" s="1">
        <v>17960.46</v>
      </c>
      <c r="C4" s="1">
        <v>12978.21</v>
      </c>
      <c r="D4" s="1">
        <v>14903.11</v>
      </c>
      <c r="E4" s="1">
        <v>17478.419999999998</v>
      </c>
      <c r="F4" s="1">
        <v>20754.34</v>
      </c>
      <c r="G4" s="1">
        <v>20472.509999999998</v>
      </c>
    </row>
    <row r="5" spans="1:7" x14ac:dyDescent="0.25">
      <c r="A5" s="1" t="s">
        <v>9</v>
      </c>
      <c r="B5" s="1">
        <v>454.72</v>
      </c>
      <c r="C5" s="1">
        <v>141.49</v>
      </c>
      <c r="D5" s="1">
        <v>504.14</v>
      </c>
      <c r="E5" s="1">
        <v>1277.2</v>
      </c>
      <c r="F5" s="1">
        <v>1501.36</v>
      </c>
      <c r="G5" s="1">
        <v>1343.46</v>
      </c>
    </row>
    <row r="6" spans="1:7" x14ac:dyDescent="0.25">
      <c r="A6" s="3" t="s">
        <v>10</v>
      </c>
      <c r="B6" s="3">
        <v>45.47</v>
      </c>
      <c r="C6" s="3">
        <v>14.29</v>
      </c>
      <c r="D6" s="3">
        <v>50.92</v>
      </c>
      <c r="E6" s="3">
        <v>129.01</v>
      </c>
      <c r="F6" s="3">
        <v>151.65</v>
      </c>
      <c r="G6" s="3">
        <v>135.69999999999999</v>
      </c>
    </row>
    <row r="7" spans="1:7" x14ac:dyDescent="0.25">
      <c r="A7" s="1" t="s">
        <v>11</v>
      </c>
      <c r="B7" s="1">
        <v>435.65</v>
      </c>
      <c r="C7" s="1">
        <v>95.92</v>
      </c>
      <c r="D7" s="1">
        <v>444.85</v>
      </c>
      <c r="E7" s="1">
        <v>1127.21</v>
      </c>
      <c r="F7" s="1">
        <v>1400.11</v>
      </c>
      <c r="G7" s="1">
        <v>1223.3499999999999</v>
      </c>
    </row>
    <row r="8" spans="1:7" x14ac:dyDescent="0.25">
      <c r="A8" s="1" t="s">
        <v>12</v>
      </c>
      <c r="B8" s="1">
        <v>43.57</v>
      </c>
      <c r="C8" s="1">
        <v>9.69</v>
      </c>
      <c r="D8" s="1">
        <v>44.93</v>
      </c>
      <c r="E8" s="1">
        <v>113.86</v>
      </c>
      <c r="F8" s="1">
        <v>141.43</v>
      </c>
      <c r="G8" s="1">
        <v>123.57</v>
      </c>
    </row>
    <row r="9" spans="1:7" x14ac:dyDescent="0.25">
      <c r="A9" s="1" t="s">
        <v>13</v>
      </c>
      <c r="B9" s="1">
        <v>128.06</v>
      </c>
      <c r="C9" s="1">
        <v>12.93</v>
      </c>
      <c r="D9" s="1">
        <v>-153.68</v>
      </c>
      <c r="E9" s="1">
        <v>923.53</v>
      </c>
      <c r="F9" s="1">
        <v>1400.11</v>
      </c>
      <c r="G9" s="1">
        <v>1222.8399999999999</v>
      </c>
    </row>
    <row r="10" spans="1:7" x14ac:dyDescent="0.25">
      <c r="A10" s="1" t="s">
        <v>14</v>
      </c>
      <c r="B10" s="1">
        <v>12.81</v>
      </c>
      <c r="C10" s="1">
        <v>1.31</v>
      </c>
      <c r="D10" s="1">
        <v>-15.52</v>
      </c>
      <c r="E10" s="1">
        <v>93.29</v>
      </c>
      <c r="F10" s="1">
        <v>141.43</v>
      </c>
      <c r="G10" s="1">
        <v>123.52</v>
      </c>
    </row>
    <row r="11" spans="1:7" x14ac:dyDescent="0.25">
      <c r="A11" s="1" t="s">
        <v>15</v>
      </c>
      <c r="B11" s="1">
        <v>122.46</v>
      </c>
      <c r="C11" s="1">
        <v>6.1</v>
      </c>
      <c r="D11" s="1">
        <v>108.04</v>
      </c>
      <c r="E11" s="1">
        <v>812.48</v>
      </c>
      <c r="F11" s="1">
        <v>1280.56</v>
      </c>
      <c r="G11" s="1">
        <v>1140.03</v>
      </c>
    </row>
    <row r="12" spans="1:7" x14ac:dyDescent="0.25">
      <c r="A12" s="1" t="s">
        <v>16</v>
      </c>
      <c r="B12" s="1">
        <v>224.99</v>
      </c>
      <c r="C12" s="1">
        <v>162.78</v>
      </c>
      <c r="D12" s="1">
        <v>209.05</v>
      </c>
      <c r="E12" s="1">
        <v>223.24</v>
      </c>
      <c r="F12" s="1">
        <v>237.77</v>
      </c>
      <c r="G12" s="1">
        <v>238.47</v>
      </c>
    </row>
    <row r="13" spans="1:7" x14ac:dyDescent="0.25">
      <c r="A13" s="1" t="s">
        <v>17</v>
      </c>
      <c r="B13" s="1">
        <v>11.03</v>
      </c>
      <c r="C13" s="1">
        <v>6.36</v>
      </c>
      <c r="D13" s="1">
        <v>22.44</v>
      </c>
      <c r="E13" s="1">
        <v>31.89</v>
      </c>
      <c r="F13" s="1">
        <v>24.3</v>
      </c>
      <c r="G13" s="1">
        <v>27.31</v>
      </c>
    </row>
    <row r="14" spans="1:7" x14ac:dyDescent="0.25">
      <c r="A14" s="1" t="s">
        <v>18</v>
      </c>
      <c r="B14" s="1">
        <v>22.58</v>
      </c>
      <c r="C14" s="1">
        <v>11.96</v>
      </c>
      <c r="D14" s="1">
        <v>59.48</v>
      </c>
      <c r="E14" s="1">
        <v>67.38</v>
      </c>
      <c r="F14" s="1">
        <v>73</v>
      </c>
      <c r="G14" s="1">
        <v>59.16</v>
      </c>
    </row>
    <row r="15" spans="1:7" x14ac:dyDescent="0.25">
      <c r="A15" s="1" t="s">
        <v>19</v>
      </c>
      <c r="B15" s="1">
        <v>1</v>
      </c>
      <c r="C15" s="1">
        <v>0</v>
      </c>
      <c r="D15" s="1">
        <v>1</v>
      </c>
      <c r="E15" s="1">
        <v>7</v>
      </c>
      <c r="F15" s="1">
        <v>5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281.86</v>
      </c>
      <c r="C17" s="1">
        <v>54.42</v>
      </c>
      <c r="D17" s="1">
        <v>145.59</v>
      </c>
      <c r="E17" s="1">
        <v>1025.3699999999999</v>
      </c>
      <c r="F17" s="1">
        <v>1400.11</v>
      </c>
      <c r="G17" s="1">
        <v>1223.0899999999999</v>
      </c>
    </row>
    <row r="18" spans="1:7" x14ac:dyDescent="0.25">
      <c r="A18" s="1" t="s">
        <v>22</v>
      </c>
      <c r="B18" s="1">
        <v>153.79</v>
      </c>
      <c r="C18" s="1">
        <v>41.49</v>
      </c>
      <c r="D18" s="1">
        <v>299.26</v>
      </c>
      <c r="E18" s="1">
        <v>101.84</v>
      </c>
      <c r="F18" s="1">
        <v>0</v>
      </c>
      <c r="G18" s="1">
        <v>0.25</v>
      </c>
    </row>
    <row r="19" spans="1:7" x14ac:dyDescent="0.25">
      <c r="A19" s="1" t="s">
        <v>23</v>
      </c>
      <c r="B19" s="1">
        <v>2</v>
      </c>
      <c r="C19" s="1">
        <v>2</v>
      </c>
      <c r="D19" s="1">
        <v>3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2.2000000000000002</v>
      </c>
      <c r="C20" s="1">
        <v>2.1</v>
      </c>
      <c r="D20" s="1">
        <v>4.0999999999999996</v>
      </c>
      <c r="E20" s="1">
        <v>1</v>
      </c>
      <c r="F20" s="1">
        <v>0</v>
      </c>
      <c r="G20" s="1">
        <v>0</v>
      </c>
    </row>
    <row r="21" spans="1:7" x14ac:dyDescent="0.25">
      <c r="A21" s="1" t="s">
        <v>25</v>
      </c>
      <c r="B21" s="1">
        <v>7.9</v>
      </c>
      <c r="C21" s="1">
        <v>7.9</v>
      </c>
      <c r="D21" s="1">
        <v>5.9</v>
      </c>
      <c r="E21" s="1">
        <v>9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1.2</v>
      </c>
      <c r="E24" s="1">
        <v>1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8.8000000000000007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9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12</v>
      </c>
      <c r="E29" s="3">
        <f t="shared" si="1"/>
        <v>10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88.000000000000014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90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11.88</v>
      </c>
      <c r="C33" s="3">
        <v>0.45</v>
      </c>
      <c r="D33" s="3">
        <v>-10.27</v>
      </c>
      <c r="E33" s="3">
        <v>96.39</v>
      </c>
      <c r="F33" s="3">
        <v>150.63</v>
      </c>
      <c r="G33" s="3">
        <v>137.12</v>
      </c>
    </row>
    <row r="35" spans="1:7" x14ac:dyDescent="0.25">
      <c r="A35" s="3" t="s">
        <v>36</v>
      </c>
      <c r="B35" s="3"/>
      <c r="C35" s="3"/>
      <c r="D35" s="3">
        <f>D33-C33</f>
        <v>-10.719999999999999</v>
      </c>
      <c r="E35" s="3"/>
      <c r="F35" s="3">
        <f>F33-E33</f>
        <v>54.239999999999995</v>
      </c>
      <c r="G35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6D7B-8504-476E-8FE5-4E8D221B2107}">
  <dimension ref="A1:G35"/>
  <sheetViews>
    <sheetView tabSelected="1" workbookViewId="0">
      <selection activeCell="J27" sqref="J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477.69</v>
      </c>
      <c r="C2" s="1">
        <v>478.51</v>
      </c>
      <c r="D2" s="1">
        <v>396.56</v>
      </c>
      <c r="E2" s="1">
        <v>350.39</v>
      </c>
      <c r="F2" s="1">
        <v>325.89</v>
      </c>
      <c r="G2" s="1">
        <v>309.55</v>
      </c>
    </row>
    <row r="3" spans="1:7" x14ac:dyDescent="0.25">
      <c r="A3" s="1" t="s">
        <v>7</v>
      </c>
      <c r="B3" s="1">
        <v>37.5</v>
      </c>
      <c r="C3" s="1">
        <v>37.89</v>
      </c>
      <c r="D3" s="1">
        <v>36.47</v>
      </c>
      <c r="E3" s="1">
        <v>38.380000000000003</v>
      </c>
      <c r="F3" s="1">
        <v>36.369999999999997</v>
      </c>
      <c r="G3" s="1">
        <v>32.19</v>
      </c>
    </row>
    <row r="4" spans="1:7" x14ac:dyDescent="0.25">
      <c r="A4" s="1" t="s">
        <v>8</v>
      </c>
      <c r="B4" s="1">
        <v>18222.490000000002</v>
      </c>
      <c r="C4" s="1">
        <v>18441.150000000001</v>
      </c>
      <c r="D4" s="1">
        <v>14692.41</v>
      </c>
      <c r="E4" s="1">
        <v>13720.58</v>
      </c>
      <c r="F4" s="1">
        <v>12060.43</v>
      </c>
      <c r="G4" s="1">
        <v>10109.209999999999</v>
      </c>
    </row>
    <row r="5" spans="1:7" x14ac:dyDescent="0.25">
      <c r="A5" s="1" t="s">
        <v>9</v>
      </c>
      <c r="B5" s="1">
        <v>91.95</v>
      </c>
      <c r="C5" s="1">
        <v>64.22</v>
      </c>
      <c r="D5" s="1">
        <v>542.28</v>
      </c>
      <c r="E5" s="1">
        <v>855.24</v>
      </c>
      <c r="F5" s="1">
        <v>655.33000000000004</v>
      </c>
      <c r="G5" s="1">
        <v>297.27999999999997</v>
      </c>
    </row>
    <row r="6" spans="1:7" x14ac:dyDescent="0.25">
      <c r="A6" s="3" t="s">
        <v>10</v>
      </c>
      <c r="B6" s="3">
        <v>9.1999999999999993</v>
      </c>
      <c r="C6" s="3">
        <v>6.49</v>
      </c>
      <c r="D6" s="3">
        <v>54.78</v>
      </c>
      <c r="E6" s="3">
        <v>86.39</v>
      </c>
      <c r="F6" s="3">
        <v>66.2</v>
      </c>
      <c r="G6" s="3">
        <v>30.03</v>
      </c>
    </row>
    <row r="7" spans="1:7" x14ac:dyDescent="0.25">
      <c r="A7" s="1" t="s">
        <v>11</v>
      </c>
      <c r="B7" s="1">
        <v>74.28</v>
      </c>
      <c r="C7" s="1">
        <v>52.75</v>
      </c>
      <c r="D7" s="1">
        <v>471.06</v>
      </c>
      <c r="E7" s="1">
        <v>707.43</v>
      </c>
      <c r="F7" s="1">
        <v>554.15</v>
      </c>
      <c r="G7" s="1">
        <v>283.81</v>
      </c>
    </row>
    <row r="8" spans="1:7" x14ac:dyDescent="0.25">
      <c r="A8" s="1" t="s">
        <v>12</v>
      </c>
      <c r="B8" s="1">
        <v>7.43</v>
      </c>
      <c r="C8" s="1">
        <v>5.33</v>
      </c>
      <c r="D8" s="1">
        <v>47.58</v>
      </c>
      <c r="E8" s="1">
        <v>71.459999999999994</v>
      </c>
      <c r="F8" s="1">
        <v>55.97</v>
      </c>
      <c r="G8" s="1">
        <v>28.67</v>
      </c>
    </row>
    <row r="9" spans="1:7" x14ac:dyDescent="0.25">
      <c r="A9" s="1" t="s">
        <v>13</v>
      </c>
      <c r="B9" s="1">
        <v>-9.57</v>
      </c>
      <c r="C9" s="1">
        <v>4.9400000000000004</v>
      </c>
      <c r="D9" s="1">
        <v>-219.96</v>
      </c>
      <c r="E9" s="1">
        <v>-267.60000000000002</v>
      </c>
      <c r="F9" s="1">
        <v>345.3</v>
      </c>
      <c r="G9" s="1">
        <v>-30.09</v>
      </c>
    </row>
    <row r="10" spans="1:7" x14ac:dyDescent="0.25">
      <c r="A10" s="1" t="s">
        <v>14</v>
      </c>
      <c r="B10" s="1">
        <v>-0.96</v>
      </c>
      <c r="C10" s="1">
        <v>0.5</v>
      </c>
      <c r="D10" s="1">
        <v>-22.22</v>
      </c>
      <c r="E10" s="1">
        <v>-27.03</v>
      </c>
      <c r="F10" s="1">
        <v>34.880000000000003</v>
      </c>
      <c r="G10" s="1">
        <v>-3.04</v>
      </c>
    </row>
    <row r="11" spans="1:7" x14ac:dyDescent="0.25">
      <c r="A11" s="1" t="s">
        <v>15</v>
      </c>
      <c r="B11" s="1">
        <v>7.27</v>
      </c>
      <c r="C11" s="1">
        <v>4.34</v>
      </c>
      <c r="D11" s="1">
        <v>138.04</v>
      </c>
      <c r="E11" s="1">
        <v>204.54</v>
      </c>
      <c r="F11" s="1">
        <v>76.680000000000007</v>
      </c>
      <c r="G11" s="1">
        <v>11.66</v>
      </c>
    </row>
    <row r="12" spans="1:7" x14ac:dyDescent="0.25">
      <c r="A12" s="1" t="s">
        <v>16</v>
      </c>
      <c r="B12" s="1">
        <v>185.3</v>
      </c>
      <c r="C12" s="1">
        <v>188.59</v>
      </c>
      <c r="D12" s="1">
        <v>231.5</v>
      </c>
      <c r="E12" s="1">
        <v>161.69999999999999</v>
      </c>
      <c r="F12" s="1">
        <v>145.47</v>
      </c>
      <c r="G12" s="1">
        <v>162.72999999999999</v>
      </c>
    </row>
    <row r="13" spans="1:7" x14ac:dyDescent="0.25">
      <c r="A13" s="1" t="s">
        <v>17</v>
      </c>
      <c r="B13" s="1">
        <v>46.38</v>
      </c>
      <c r="C13" s="1">
        <v>47.66</v>
      </c>
      <c r="D13" s="1">
        <v>42.99</v>
      </c>
      <c r="E13" s="1">
        <v>31.83</v>
      </c>
      <c r="F13" s="1">
        <v>38.71</v>
      </c>
      <c r="G13" s="1">
        <v>8.61</v>
      </c>
    </row>
    <row r="14" spans="1:7" x14ac:dyDescent="0.25">
      <c r="A14" s="1" t="s">
        <v>18</v>
      </c>
      <c r="B14" s="1">
        <v>50.25</v>
      </c>
      <c r="C14" s="1">
        <v>50.46</v>
      </c>
      <c r="D14" s="1">
        <v>78.14</v>
      </c>
      <c r="E14" s="1">
        <v>90.75</v>
      </c>
      <c r="F14" s="1">
        <v>61.58</v>
      </c>
      <c r="G14" s="1">
        <v>18.79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6</v>
      </c>
      <c r="F15" s="1">
        <v>3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32.35</v>
      </c>
      <c r="C17" s="1">
        <v>28.84</v>
      </c>
      <c r="D17" s="1">
        <v>125.55</v>
      </c>
      <c r="E17" s="1">
        <v>219.91</v>
      </c>
      <c r="F17" s="1">
        <v>449.72</v>
      </c>
      <c r="G17" s="1">
        <v>126.86</v>
      </c>
    </row>
    <row r="18" spans="1:7" x14ac:dyDescent="0.25">
      <c r="A18" s="1" t="s">
        <v>22</v>
      </c>
      <c r="B18" s="1">
        <v>41.92</v>
      </c>
      <c r="C18" s="1">
        <v>23.9</v>
      </c>
      <c r="D18" s="1">
        <v>345.51</v>
      </c>
      <c r="E18" s="1">
        <v>487.51</v>
      </c>
      <c r="F18" s="1">
        <v>104.43</v>
      </c>
      <c r="G18" s="1">
        <v>156.94999999999999</v>
      </c>
    </row>
    <row r="19" spans="1:7" x14ac:dyDescent="0.25">
      <c r="A19" s="1" t="s">
        <v>23</v>
      </c>
      <c r="B19" s="1">
        <v>2</v>
      </c>
      <c r="C19" s="1">
        <v>0</v>
      </c>
      <c r="D19" s="1">
        <v>2</v>
      </c>
      <c r="E19" s="1">
        <v>2</v>
      </c>
      <c r="F19" s="1">
        <v>1</v>
      </c>
      <c r="G19" s="1">
        <v>2</v>
      </c>
    </row>
    <row r="20" spans="1:7" x14ac:dyDescent="0.25">
      <c r="A20" s="1" t="s">
        <v>24</v>
      </c>
      <c r="B20" s="1">
        <v>2.7</v>
      </c>
      <c r="C20" s="1">
        <v>0</v>
      </c>
      <c r="D20" s="1">
        <v>4.5</v>
      </c>
      <c r="E20" s="1">
        <v>2.7</v>
      </c>
      <c r="F20" s="1">
        <v>1.7</v>
      </c>
      <c r="G20" s="1">
        <v>2.5</v>
      </c>
    </row>
    <row r="21" spans="1:7" x14ac:dyDescent="0.25">
      <c r="A21" s="1" t="s">
        <v>25</v>
      </c>
      <c r="B21" s="1">
        <v>7.4</v>
      </c>
      <c r="C21" s="1">
        <v>10</v>
      </c>
      <c r="D21" s="1">
        <v>5.5</v>
      </c>
      <c r="E21" s="1">
        <v>7.3</v>
      </c>
      <c r="F21" s="1">
        <v>8.3000000000000007</v>
      </c>
      <c r="G21" s="1">
        <v>7.5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1.7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3.2</v>
      </c>
      <c r="E24" s="1">
        <v>2.7</v>
      </c>
      <c r="F24" s="1">
        <v>1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5.0999999999999996</v>
      </c>
      <c r="E25" s="1">
        <v>5.2</v>
      </c>
      <c r="F25" s="1">
        <v>4.9000000000000004</v>
      </c>
      <c r="G25" s="1">
        <v>10</v>
      </c>
    </row>
    <row r="26" spans="1:7" x14ac:dyDescent="0.25">
      <c r="A26" s="1" t="s">
        <v>30</v>
      </c>
      <c r="B26" s="1">
        <v>0</v>
      </c>
      <c r="C26" s="1">
        <v>0</v>
      </c>
      <c r="D26" s="1">
        <v>1.7</v>
      </c>
      <c r="E26" s="1">
        <v>2.1</v>
      </c>
      <c r="F26" s="1">
        <v>4.0999999999999996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32</v>
      </c>
      <c r="E29" s="3">
        <f t="shared" si="1"/>
        <v>27</v>
      </c>
      <c r="F29" s="3">
        <f t="shared" si="1"/>
        <v>10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51</v>
      </c>
      <c r="E30" s="3">
        <f t="shared" si="2"/>
        <v>52</v>
      </c>
      <c r="F30" s="3">
        <f t="shared" si="2"/>
        <v>49.000000000000007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17</v>
      </c>
      <c r="E31" s="3">
        <f t="shared" si="3"/>
        <v>21.000000000000004</v>
      </c>
      <c r="F31" s="3">
        <f t="shared" si="3"/>
        <v>41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-0.84</v>
      </c>
      <c r="C33" s="3">
        <v>0.36</v>
      </c>
      <c r="D33" s="3">
        <v>-16.03</v>
      </c>
      <c r="E33" s="3">
        <v>-6.14</v>
      </c>
      <c r="F33" s="3">
        <v>21.42</v>
      </c>
      <c r="G33" s="3">
        <v>-0.34</v>
      </c>
    </row>
    <row r="35" spans="1:7" x14ac:dyDescent="0.25">
      <c r="A35" s="3" t="s">
        <v>36</v>
      </c>
      <c r="B35" s="3"/>
      <c r="C35" s="3"/>
      <c r="D35" s="3">
        <f>D33-C33</f>
        <v>-16.39</v>
      </c>
      <c r="E35" s="3"/>
      <c r="F35" s="3">
        <f>F33-E33</f>
        <v>27.560000000000002</v>
      </c>
      <c r="G35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CCB9-96B2-4E85-804F-4F58BF642BBA}">
  <dimension ref="A1:G35"/>
  <sheetViews>
    <sheetView workbookViewId="0">
      <selection activeCell="L21" sqref="L2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220913C001.1</vt:lpstr>
      <vt:lpstr>220913C001.4</vt:lpstr>
      <vt:lpstr>220913C001.5</vt:lpstr>
      <vt:lpstr>220913C002.3</vt:lpstr>
      <vt:lpstr>220913C002.4</vt:lpstr>
      <vt:lpstr>220926C002.1</vt:lpstr>
      <vt:lpstr>220926C002.3</vt:lpstr>
      <vt:lpstr>220926C002.4</vt:lpstr>
      <vt:lpstr>220927C001.2</vt:lpstr>
      <vt:lpstr>220927C001.3</vt:lpstr>
      <vt:lpstr>220927C001.5</vt:lpstr>
      <vt:lpstr>230406C001.1</vt:lpstr>
      <vt:lpstr>230406C001.2</vt:lpstr>
      <vt:lpstr>230406C001.3</vt:lpstr>
      <vt:lpstr>230406C001.5</vt:lpstr>
      <vt:lpstr>220927C002.1</vt:lpstr>
      <vt:lpstr>220927C002.3</vt:lpstr>
      <vt:lpstr>220927C002.4</vt:lpstr>
      <vt:lpstr>220927C002.5</vt:lpstr>
      <vt:lpstr>230406C002.1</vt:lpstr>
      <vt:lpstr>230406C002.2</vt:lpstr>
      <vt:lpstr>230406C002.3</vt:lpstr>
      <vt:lpstr>230406C002.4</vt:lpstr>
      <vt:lpstr>230406C002.5</vt:lpstr>
      <vt:lpstr>230615C001.3</vt:lpstr>
      <vt:lpstr>230615C001.4</vt:lpstr>
      <vt:lpstr>230615C001.5</vt:lpstr>
      <vt:lpstr>230615C002.1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2023-04-04T18:51:53Z</dcterms:created>
  <dcterms:modified xsi:type="dcterms:W3CDTF">2023-07-26T00:29:38Z</dcterms:modified>
</cp:coreProperties>
</file>