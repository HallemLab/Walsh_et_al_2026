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A. ceylanicum\iL3s\wild-type\2024-0115\WormLab Data\"/>
    </mc:Choice>
  </mc:AlternateContent>
  <xr:revisionPtr revIDLastSave="0" documentId="13_ncr:1_{58BED60E-98A0-473B-AE11-28089A23379F}" xr6:coauthVersionLast="36" xr6:coauthVersionMax="36" xr10:uidLastSave="{00000000-0000-0000-0000-000000000000}"/>
  <bookViews>
    <workbookView xWindow="0" yWindow="0" windowWidth="24225" windowHeight="10995" firstSheet="6" activeTab="12" xr2:uid="{AC36E3A3-89E7-4BAD-B076-2E2A1AC233EB}"/>
  </bookViews>
  <sheets>
    <sheet name="240115C001.1" sheetId="2" r:id="rId1"/>
    <sheet name="240115C001.2" sheetId="3" r:id="rId2"/>
    <sheet name="240115C001.3" sheetId="4" r:id="rId3"/>
    <sheet name="240115C001.4" sheetId="5" r:id="rId4"/>
    <sheet name="240115C001.5" sheetId="6" r:id="rId5"/>
    <sheet name="240115C002.1" sheetId="7" r:id="rId6"/>
    <sheet name="240115C002.3" sheetId="8" r:id="rId7"/>
    <sheet name="240115C002.4" sheetId="9" r:id="rId8"/>
    <sheet name="240115C002.5" sheetId="10" r:id="rId9"/>
    <sheet name="240115C003.1" sheetId="11" r:id="rId10"/>
    <sheet name="240115C003.2" sheetId="12" r:id="rId11"/>
    <sheet name="240115C003.4" sheetId="13" r:id="rId12"/>
    <sheet name="240115C003.5" sheetId="14" r:id="rId13"/>
    <sheet name="template" sheetId="1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14" l="1"/>
  <c r="E37" i="14"/>
  <c r="C37" i="14"/>
  <c r="F35" i="14"/>
  <c r="D35" i="14"/>
  <c r="G28" i="14"/>
  <c r="G30" i="14" s="1"/>
  <c r="F28" i="14"/>
  <c r="F30" i="14" s="1"/>
  <c r="E28" i="14"/>
  <c r="E30" i="14" s="1"/>
  <c r="D28" i="14"/>
  <c r="D30" i="14" s="1"/>
  <c r="C28" i="14"/>
  <c r="C31" i="14" s="1"/>
  <c r="B28" i="14"/>
  <c r="B31" i="14" s="1"/>
  <c r="G37" i="13"/>
  <c r="E37" i="13"/>
  <c r="C37" i="13"/>
  <c r="F35" i="13"/>
  <c r="D35" i="13"/>
  <c r="F31" i="13"/>
  <c r="E31" i="13"/>
  <c r="D31" i="13"/>
  <c r="B31" i="13"/>
  <c r="F30" i="13"/>
  <c r="E30" i="13"/>
  <c r="D30" i="13"/>
  <c r="C30" i="13"/>
  <c r="B30" i="13"/>
  <c r="F29" i="13"/>
  <c r="E29" i="13"/>
  <c r="G28" i="13"/>
  <c r="G31" i="13" s="1"/>
  <c r="F28" i="13"/>
  <c r="E28" i="13"/>
  <c r="D28" i="13"/>
  <c r="D29" i="13" s="1"/>
  <c r="C28" i="13"/>
  <c r="C29" i="13" s="1"/>
  <c r="B28" i="13"/>
  <c r="B29" i="13" s="1"/>
  <c r="G37" i="12"/>
  <c r="E37" i="12"/>
  <c r="C37" i="12"/>
  <c r="F35" i="12"/>
  <c r="D35" i="12"/>
  <c r="C30" i="12"/>
  <c r="G29" i="12"/>
  <c r="G28" i="12"/>
  <c r="G31" i="12" s="1"/>
  <c r="F28" i="12"/>
  <c r="F31" i="12" s="1"/>
  <c r="E28" i="12"/>
  <c r="E29" i="12" s="1"/>
  <c r="D28" i="12"/>
  <c r="D29" i="12" s="1"/>
  <c r="C28" i="12"/>
  <c r="C29" i="12" s="1"/>
  <c r="B28" i="12"/>
  <c r="B29" i="12" s="1"/>
  <c r="G37" i="11"/>
  <c r="E37" i="11"/>
  <c r="C37" i="11"/>
  <c r="F35" i="11"/>
  <c r="D35" i="11"/>
  <c r="G31" i="11"/>
  <c r="F31" i="11"/>
  <c r="E31" i="11"/>
  <c r="D31" i="11"/>
  <c r="C31" i="11"/>
  <c r="B31" i="11"/>
  <c r="G30" i="11"/>
  <c r="F30" i="11"/>
  <c r="E30" i="11"/>
  <c r="D30" i="11"/>
  <c r="C30" i="11"/>
  <c r="B30" i="11"/>
  <c r="G29" i="11"/>
  <c r="F29" i="11"/>
  <c r="E29" i="11"/>
  <c r="G28" i="11"/>
  <c r="F28" i="11"/>
  <c r="E28" i="11"/>
  <c r="D28" i="11"/>
  <c r="D29" i="11" s="1"/>
  <c r="C28" i="11"/>
  <c r="C29" i="11" s="1"/>
  <c r="B28" i="11"/>
  <c r="B29" i="11" s="1"/>
  <c r="G37" i="10"/>
  <c r="E37" i="10"/>
  <c r="C37" i="10"/>
  <c r="F35" i="10"/>
  <c r="D35" i="10"/>
  <c r="G31" i="10"/>
  <c r="F31" i="10"/>
  <c r="E31" i="10"/>
  <c r="D31" i="10"/>
  <c r="B31" i="10"/>
  <c r="G30" i="10"/>
  <c r="F30" i="10"/>
  <c r="E30" i="10"/>
  <c r="D30" i="10"/>
  <c r="B30" i="10"/>
  <c r="G29" i="10"/>
  <c r="F29" i="10"/>
  <c r="E29" i="10"/>
  <c r="G28" i="10"/>
  <c r="F28" i="10"/>
  <c r="E28" i="10"/>
  <c r="D28" i="10"/>
  <c r="D29" i="10" s="1"/>
  <c r="C28" i="10"/>
  <c r="C29" i="10" s="1"/>
  <c r="B28" i="10"/>
  <c r="B29" i="10" s="1"/>
  <c r="G37" i="9"/>
  <c r="E37" i="9"/>
  <c r="C37" i="9"/>
  <c r="F35" i="9"/>
  <c r="D35" i="9"/>
  <c r="E31" i="9"/>
  <c r="D31" i="9"/>
  <c r="C31" i="9"/>
  <c r="B31" i="9"/>
  <c r="E30" i="9"/>
  <c r="D30" i="9"/>
  <c r="C30" i="9"/>
  <c r="B30" i="9"/>
  <c r="G28" i="9"/>
  <c r="G29" i="9" s="1"/>
  <c r="F28" i="9"/>
  <c r="F29" i="9" s="1"/>
  <c r="E28" i="9"/>
  <c r="E29" i="9" s="1"/>
  <c r="D28" i="9"/>
  <c r="D29" i="9" s="1"/>
  <c r="C28" i="9"/>
  <c r="C29" i="9" s="1"/>
  <c r="B28" i="9"/>
  <c r="B29" i="9" s="1"/>
  <c r="G37" i="8"/>
  <c r="E37" i="8"/>
  <c r="C37" i="8"/>
  <c r="F35" i="8"/>
  <c r="D35" i="8"/>
  <c r="G28" i="8"/>
  <c r="G30" i="8" s="1"/>
  <c r="F28" i="8"/>
  <c r="F29" i="8" s="1"/>
  <c r="E28" i="8"/>
  <c r="E29" i="8" s="1"/>
  <c r="D28" i="8"/>
  <c r="D31" i="8" s="1"/>
  <c r="C28" i="8"/>
  <c r="C29" i="8" s="1"/>
  <c r="B28" i="8"/>
  <c r="B30" i="8" s="1"/>
  <c r="G37" i="7"/>
  <c r="E37" i="7"/>
  <c r="C37" i="7"/>
  <c r="F35" i="7"/>
  <c r="D35" i="7"/>
  <c r="F31" i="7"/>
  <c r="E31" i="7"/>
  <c r="D31" i="7"/>
  <c r="B31" i="7"/>
  <c r="F30" i="7"/>
  <c r="E30" i="7"/>
  <c r="D30" i="7"/>
  <c r="C30" i="7"/>
  <c r="B30" i="7"/>
  <c r="F29" i="7"/>
  <c r="E29" i="7"/>
  <c r="G28" i="7"/>
  <c r="G31" i="7" s="1"/>
  <c r="F28" i="7"/>
  <c r="E28" i="7"/>
  <c r="D28" i="7"/>
  <c r="D29" i="7" s="1"/>
  <c r="C28" i="7"/>
  <c r="C29" i="7" s="1"/>
  <c r="B28" i="7"/>
  <c r="B29" i="7" s="1"/>
  <c r="G37" i="6"/>
  <c r="E37" i="6"/>
  <c r="C37" i="6"/>
  <c r="F35" i="6"/>
  <c r="D35" i="6"/>
  <c r="B31" i="6"/>
  <c r="E30" i="6"/>
  <c r="G28" i="6"/>
  <c r="G29" i="6" s="1"/>
  <c r="F28" i="6"/>
  <c r="F30" i="6" s="1"/>
  <c r="E28" i="6"/>
  <c r="E29" i="6" s="1"/>
  <c r="D28" i="6"/>
  <c r="D30" i="6" s="1"/>
  <c r="C28" i="6"/>
  <c r="C30" i="6" s="1"/>
  <c r="B28" i="6"/>
  <c r="B30" i="6" s="1"/>
  <c r="G37" i="5"/>
  <c r="E37" i="5"/>
  <c r="C37" i="5"/>
  <c r="F35" i="5"/>
  <c r="D35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G28" i="5"/>
  <c r="F28" i="5"/>
  <c r="E28" i="5"/>
  <c r="D28" i="5"/>
  <c r="D29" i="5" s="1"/>
  <c r="C28" i="5"/>
  <c r="C29" i="5" s="1"/>
  <c r="B28" i="5"/>
  <c r="B29" i="5" s="1"/>
  <c r="G37" i="4"/>
  <c r="E37" i="4"/>
  <c r="C37" i="4"/>
  <c r="F35" i="4"/>
  <c r="D35" i="4"/>
  <c r="F31" i="4"/>
  <c r="E31" i="4"/>
  <c r="C31" i="4"/>
  <c r="B31" i="4"/>
  <c r="F30" i="4"/>
  <c r="E30" i="4"/>
  <c r="D30" i="4"/>
  <c r="C30" i="4"/>
  <c r="B30" i="4"/>
  <c r="F29" i="4"/>
  <c r="E29" i="4"/>
  <c r="G28" i="4"/>
  <c r="G31" i="4" s="1"/>
  <c r="F28" i="4"/>
  <c r="E28" i="4"/>
  <c r="D28" i="4"/>
  <c r="D29" i="4" s="1"/>
  <c r="C28" i="4"/>
  <c r="C29" i="4" s="1"/>
  <c r="B28" i="4"/>
  <c r="B29" i="4" s="1"/>
  <c r="G37" i="3"/>
  <c r="E37" i="3"/>
  <c r="C37" i="3"/>
  <c r="F35" i="3"/>
  <c r="D35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G28" i="3"/>
  <c r="F28" i="3"/>
  <c r="E28" i="3"/>
  <c r="D28" i="3"/>
  <c r="D29" i="3" s="1"/>
  <c r="C28" i="3"/>
  <c r="C29" i="3" s="1"/>
  <c r="B28" i="3"/>
  <c r="B29" i="3" s="1"/>
  <c r="G37" i="2"/>
  <c r="E37" i="2"/>
  <c r="C37" i="2"/>
  <c r="F35" i="2"/>
  <c r="D35" i="2"/>
  <c r="G31" i="2"/>
  <c r="F31" i="2"/>
  <c r="E31" i="2"/>
  <c r="B31" i="2"/>
  <c r="B30" i="2"/>
  <c r="B29" i="2"/>
  <c r="G28" i="2"/>
  <c r="G30" i="2" s="1"/>
  <c r="F28" i="2"/>
  <c r="F30" i="2" s="1"/>
  <c r="E28" i="2"/>
  <c r="E29" i="2" s="1"/>
  <c r="D28" i="2"/>
  <c r="D31" i="2" s="1"/>
  <c r="C28" i="2"/>
  <c r="C31" i="2" s="1"/>
  <c r="B28" i="2"/>
  <c r="F31" i="14" l="1"/>
  <c r="G31" i="14"/>
  <c r="E31" i="14"/>
  <c r="D31" i="14"/>
  <c r="B29" i="14"/>
  <c r="C29" i="14"/>
  <c r="D29" i="14"/>
  <c r="E29" i="14"/>
  <c r="F29" i="14"/>
  <c r="G29" i="14"/>
  <c r="C30" i="14"/>
  <c r="B30" i="14"/>
  <c r="G29" i="13"/>
  <c r="G30" i="13"/>
  <c r="C31" i="13"/>
  <c r="B30" i="12"/>
  <c r="F29" i="12"/>
  <c r="D30" i="12"/>
  <c r="E30" i="12"/>
  <c r="F30" i="12"/>
  <c r="E31" i="12"/>
  <c r="G30" i="12"/>
  <c r="B31" i="12"/>
  <c r="C31" i="12"/>
  <c r="D31" i="12"/>
  <c r="C30" i="10"/>
  <c r="C31" i="10"/>
  <c r="F31" i="9"/>
  <c r="G31" i="9"/>
  <c r="G30" i="9"/>
  <c r="F30" i="9"/>
  <c r="B29" i="8"/>
  <c r="B31" i="8"/>
  <c r="E31" i="8"/>
  <c r="F31" i="8"/>
  <c r="G31" i="8"/>
  <c r="G29" i="8"/>
  <c r="E30" i="8"/>
  <c r="F30" i="8"/>
  <c r="D29" i="8"/>
  <c r="C30" i="8"/>
  <c r="D30" i="8"/>
  <c r="C31" i="8"/>
  <c r="G30" i="7"/>
  <c r="C31" i="7"/>
  <c r="G29" i="7"/>
  <c r="G30" i="6"/>
  <c r="D31" i="6"/>
  <c r="E31" i="6"/>
  <c r="F31" i="6"/>
  <c r="G31" i="6"/>
  <c r="F29" i="6"/>
  <c r="C31" i="6"/>
  <c r="B29" i="6"/>
  <c r="C29" i="6"/>
  <c r="D29" i="6"/>
  <c r="G30" i="4"/>
  <c r="G29" i="4"/>
  <c r="D31" i="4"/>
  <c r="D29" i="2"/>
  <c r="F29" i="2"/>
  <c r="G29" i="2"/>
  <c r="C30" i="2"/>
  <c r="D30" i="2"/>
  <c r="E30" i="2"/>
  <c r="C29" i="2"/>
  <c r="G37" i="1"/>
  <c r="E37" i="1"/>
  <c r="C37" i="1"/>
  <c r="F35" i="1"/>
  <c r="D35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G28" i="1"/>
  <c r="F28" i="1"/>
  <c r="E28" i="1"/>
  <c r="E29" i="1" s="1"/>
  <c r="D28" i="1"/>
  <c r="D29" i="1" s="1"/>
  <c r="C28" i="1"/>
  <c r="C29" i="1" s="1"/>
  <c r="B28" i="1"/>
  <c r="B29" i="1" s="1"/>
</calcChain>
</file>

<file path=xl/sharedStrings.xml><?xml version="1.0" encoding="utf-8"?>
<sst xmlns="http://schemas.openxmlformats.org/spreadsheetml/2006/main" count="532" uniqueCount="37">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</sst>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B6066-85CA-4043-92D1-E919E487CE19}">
  <dimension ref="A1:G37"/>
  <sheetViews>
    <sheetView topLeftCell="A10" workbookViewId="0">
      <selection activeCell="N20" sqref="N2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584.19000000000005</v>
      </c>
      <c r="C2" s="1">
        <v>601.24</v>
      </c>
      <c r="D2" s="1">
        <v>612.72</v>
      </c>
      <c r="E2" s="1">
        <v>582.83000000000004</v>
      </c>
      <c r="F2" s="1">
        <v>577.26</v>
      </c>
      <c r="G2" s="1">
        <v>559.16</v>
      </c>
    </row>
    <row r="3" spans="1:7" x14ac:dyDescent="0.25">
      <c r="A3" s="1" t="s">
        <v>7</v>
      </c>
      <c r="B3" s="1">
        <v>42.58</v>
      </c>
      <c r="C3" s="1">
        <v>50.48</v>
      </c>
      <c r="D3" s="1">
        <v>43.89</v>
      </c>
      <c r="E3" s="1">
        <v>41.39</v>
      </c>
      <c r="F3" s="1">
        <v>41.96</v>
      </c>
      <c r="G3" s="1">
        <v>40.409999999999997</v>
      </c>
    </row>
    <row r="4" spans="1:7" x14ac:dyDescent="0.25">
      <c r="A4" s="1" t="s">
        <v>8</v>
      </c>
      <c r="B4" s="1">
        <v>25301.33</v>
      </c>
      <c r="C4" s="1">
        <v>30862.42</v>
      </c>
      <c r="D4" s="1">
        <v>27351.37</v>
      </c>
      <c r="E4" s="1">
        <v>24547.27</v>
      </c>
      <c r="F4" s="1">
        <v>24547.25</v>
      </c>
      <c r="G4" s="1">
        <v>22963.07</v>
      </c>
    </row>
    <row r="5" spans="1:7" x14ac:dyDescent="0.25">
      <c r="A5" s="1" t="s">
        <v>9</v>
      </c>
      <c r="B5" s="1">
        <v>519.07000000000005</v>
      </c>
      <c r="C5" s="1">
        <v>664.89</v>
      </c>
      <c r="D5" s="1">
        <v>89.51</v>
      </c>
      <c r="E5" s="1">
        <v>548.84</v>
      </c>
      <c r="F5" s="1">
        <v>628.65</v>
      </c>
      <c r="G5" s="1">
        <v>609.02</v>
      </c>
    </row>
    <row r="6" spans="1:7" x14ac:dyDescent="0.25">
      <c r="A6" s="3" t="s">
        <v>10</v>
      </c>
      <c r="B6" s="3">
        <v>51.91</v>
      </c>
      <c r="C6" s="3">
        <v>67.16</v>
      </c>
      <c r="D6" s="3">
        <v>9.0399999999999991</v>
      </c>
      <c r="E6" s="3">
        <v>55.44</v>
      </c>
      <c r="F6" s="3">
        <v>63.5</v>
      </c>
      <c r="G6" s="3">
        <v>62.15</v>
      </c>
    </row>
    <row r="7" spans="1:7" x14ac:dyDescent="0.25">
      <c r="A7" s="1" t="s">
        <v>11</v>
      </c>
      <c r="B7" s="1">
        <v>511.83</v>
      </c>
      <c r="C7" s="1">
        <v>652.72</v>
      </c>
      <c r="D7" s="1">
        <v>73.5</v>
      </c>
      <c r="E7" s="1">
        <v>540.07000000000005</v>
      </c>
      <c r="F7" s="1">
        <v>591.02</v>
      </c>
      <c r="G7" s="1">
        <v>602.04999999999995</v>
      </c>
    </row>
    <row r="8" spans="1:7" x14ac:dyDescent="0.25">
      <c r="A8" s="1" t="s">
        <v>12</v>
      </c>
      <c r="B8" s="1">
        <v>51.18</v>
      </c>
      <c r="C8" s="1">
        <v>65.930000000000007</v>
      </c>
      <c r="D8" s="1">
        <v>7.42</v>
      </c>
      <c r="E8" s="1">
        <v>54.55</v>
      </c>
      <c r="F8" s="1">
        <v>59.7</v>
      </c>
      <c r="G8" s="1">
        <v>61.43</v>
      </c>
    </row>
    <row r="9" spans="1:7" x14ac:dyDescent="0.25">
      <c r="A9" s="1" t="s">
        <v>13</v>
      </c>
      <c r="B9" s="1">
        <v>443.39</v>
      </c>
      <c r="C9" s="1">
        <v>645.59</v>
      </c>
      <c r="D9" s="1">
        <v>17.440000000000001</v>
      </c>
      <c r="E9" s="1">
        <v>540.07000000000005</v>
      </c>
      <c r="F9" s="1">
        <v>569.29</v>
      </c>
      <c r="G9" s="1">
        <v>602.04999999999995</v>
      </c>
    </row>
    <row r="10" spans="1:7" x14ac:dyDescent="0.25">
      <c r="A10" s="1" t="s">
        <v>14</v>
      </c>
      <c r="B10" s="1">
        <v>44.34</v>
      </c>
      <c r="C10" s="1">
        <v>65.209999999999994</v>
      </c>
      <c r="D10" s="1">
        <v>1.76</v>
      </c>
      <c r="E10" s="1">
        <v>54.55</v>
      </c>
      <c r="F10" s="1">
        <v>57.5</v>
      </c>
      <c r="G10" s="1">
        <v>61.43</v>
      </c>
    </row>
    <row r="11" spans="1:7" x14ac:dyDescent="0.25">
      <c r="A11" s="1" t="s">
        <v>15</v>
      </c>
      <c r="B11" s="1">
        <v>387.21</v>
      </c>
      <c r="C11" s="1">
        <v>538.83000000000004</v>
      </c>
      <c r="D11" s="1">
        <v>14.03</v>
      </c>
      <c r="E11" s="1">
        <v>460.45</v>
      </c>
      <c r="F11" s="1">
        <v>465.32</v>
      </c>
      <c r="G11" s="1">
        <v>462.06</v>
      </c>
    </row>
    <row r="12" spans="1:7" x14ac:dyDescent="0.25">
      <c r="A12" s="1" t="s">
        <v>16</v>
      </c>
      <c r="B12" s="1">
        <v>317.16000000000003</v>
      </c>
      <c r="C12" s="1">
        <v>305.85000000000002</v>
      </c>
      <c r="D12" s="1">
        <v>256.69</v>
      </c>
      <c r="E12" s="1">
        <v>297.56</v>
      </c>
      <c r="F12" s="1">
        <v>309.44</v>
      </c>
      <c r="G12" s="1">
        <v>281.52999999999997</v>
      </c>
    </row>
    <row r="13" spans="1:7" x14ac:dyDescent="0.25">
      <c r="A13" s="1" t="s">
        <v>17</v>
      </c>
      <c r="B13" s="1">
        <v>31.68</v>
      </c>
      <c r="C13" s="1">
        <v>44.35</v>
      </c>
      <c r="D13" s="1">
        <v>113.44</v>
      </c>
      <c r="E13" s="1">
        <v>41.08</v>
      </c>
      <c r="F13" s="1">
        <v>37.94</v>
      </c>
      <c r="G13" s="1">
        <v>40.17</v>
      </c>
    </row>
    <row r="14" spans="1:7" x14ac:dyDescent="0.25">
      <c r="A14" s="1" t="s">
        <v>18</v>
      </c>
      <c r="B14" s="1">
        <v>55.15</v>
      </c>
      <c r="C14" s="1">
        <v>117.4</v>
      </c>
      <c r="D14" s="1">
        <v>118.4</v>
      </c>
      <c r="E14" s="1">
        <v>73.260000000000005</v>
      </c>
      <c r="F14" s="1">
        <v>85.4</v>
      </c>
      <c r="G14" s="1">
        <v>81.400000000000006</v>
      </c>
    </row>
    <row r="15" spans="1:7" x14ac:dyDescent="0.25">
      <c r="A15" s="1" t="s">
        <v>19</v>
      </c>
      <c r="B15" s="1">
        <v>3</v>
      </c>
      <c r="C15" s="1">
        <v>3</v>
      </c>
      <c r="D15" s="1">
        <v>1</v>
      </c>
      <c r="E15" s="1">
        <v>3</v>
      </c>
      <c r="F15" s="1">
        <v>5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477.61</v>
      </c>
      <c r="C17" s="1">
        <v>649.15</v>
      </c>
      <c r="D17" s="1">
        <v>45.47</v>
      </c>
      <c r="E17" s="1">
        <v>540.07000000000005</v>
      </c>
      <c r="F17" s="1">
        <v>580.15</v>
      </c>
      <c r="G17" s="1">
        <v>602.04999999999995</v>
      </c>
    </row>
    <row r="18" spans="1:7" x14ac:dyDescent="0.25">
      <c r="A18" s="1" t="s">
        <v>22</v>
      </c>
      <c r="B18" s="1">
        <v>34.22</v>
      </c>
      <c r="C18" s="1">
        <v>3.57</v>
      </c>
      <c r="D18" s="1">
        <v>28.03</v>
      </c>
      <c r="E18" s="1">
        <v>0</v>
      </c>
      <c r="F18" s="1">
        <v>10.86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3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3.3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6.7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</v>
      </c>
      <c r="C25" s="1">
        <v>0</v>
      </c>
      <c r="D25" s="1">
        <v>10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9.1</v>
      </c>
      <c r="C26" s="1">
        <v>10</v>
      </c>
      <c r="D26" s="1">
        <v>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9.9009900990099009</v>
      </c>
      <c r="C30" s="3">
        <f t="shared" ref="C30:G30" si="2">C25/C28*100</f>
        <v>0</v>
      </c>
      <c r="D30" s="3">
        <f t="shared" si="2"/>
        <v>100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90.099009900990097</v>
      </c>
      <c r="C31" s="3">
        <f t="shared" ref="C31:G31" si="3">C26/C28*100</f>
        <v>100</v>
      </c>
      <c r="D31" s="3">
        <f t="shared" si="3"/>
        <v>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45.13</v>
      </c>
      <c r="C33" s="3">
        <v>66.36</v>
      </c>
      <c r="D33" s="3">
        <v>1.59</v>
      </c>
      <c r="E33" s="3">
        <v>55.21</v>
      </c>
      <c r="F33" s="3">
        <v>58.41</v>
      </c>
      <c r="G33" s="3">
        <v>61.7</v>
      </c>
    </row>
    <row r="35" spans="1:7" x14ac:dyDescent="0.25">
      <c r="A35" s="3" t="s">
        <v>36</v>
      </c>
      <c r="B35" s="3"/>
      <c r="C35" s="3"/>
      <c r="D35" s="3">
        <f>D33-C33</f>
        <v>-64.77</v>
      </c>
      <c r="E35" s="3"/>
      <c r="F35" s="3">
        <f>F33-E33</f>
        <v>3.1999999999999957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53.62</v>
      </c>
      <c r="F37" s="3"/>
      <c r="G37" s="3">
        <f>G33-F33</f>
        <v>3.2900000000000063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F5D3-1F6E-473B-B571-3BE1625D1F6E}">
  <dimension ref="A1:G37"/>
  <sheetViews>
    <sheetView topLeftCell="A10" workbookViewId="0">
      <selection activeCell="I28" sqref="I28:I35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589.38</v>
      </c>
      <c r="C2" s="1">
        <v>587.41</v>
      </c>
      <c r="D2" s="1">
        <v>565.14</v>
      </c>
      <c r="E2" s="1">
        <v>564.37</v>
      </c>
      <c r="F2" s="1">
        <v>590.78</v>
      </c>
      <c r="G2" s="1">
        <v>556.85</v>
      </c>
    </row>
    <row r="3" spans="1:7" x14ac:dyDescent="0.25">
      <c r="A3" s="1" t="s">
        <v>7</v>
      </c>
      <c r="B3" s="1">
        <v>44.04</v>
      </c>
      <c r="C3" s="1">
        <v>43.82</v>
      </c>
      <c r="D3" s="1">
        <v>46.46</v>
      </c>
      <c r="E3" s="1">
        <v>52.92</v>
      </c>
      <c r="F3" s="1">
        <v>52.2</v>
      </c>
      <c r="G3" s="1">
        <v>43.64</v>
      </c>
    </row>
    <row r="4" spans="1:7" x14ac:dyDescent="0.25">
      <c r="A4" s="1" t="s">
        <v>8</v>
      </c>
      <c r="B4" s="1">
        <v>26403.5</v>
      </c>
      <c r="C4" s="1">
        <v>26183.62</v>
      </c>
      <c r="D4" s="1">
        <v>26653.55</v>
      </c>
      <c r="E4" s="1">
        <v>30411.02</v>
      </c>
      <c r="F4" s="1">
        <v>31338.53</v>
      </c>
      <c r="G4" s="1">
        <v>24721.83</v>
      </c>
    </row>
    <row r="5" spans="1:7" x14ac:dyDescent="0.25">
      <c r="A5" s="1" t="s">
        <v>9</v>
      </c>
      <c r="B5" s="1">
        <v>133.44</v>
      </c>
      <c r="C5" s="1">
        <v>135.07</v>
      </c>
      <c r="D5" s="1">
        <v>237.45</v>
      </c>
      <c r="E5" s="1">
        <v>499.13</v>
      </c>
      <c r="F5" s="1">
        <v>887.49</v>
      </c>
      <c r="G5" s="1">
        <v>686.44</v>
      </c>
    </row>
    <row r="6" spans="1:7" x14ac:dyDescent="0.25">
      <c r="A6" s="3" t="s">
        <v>10</v>
      </c>
      <c r="B6" s="3">
        <v>13.34</v>
      </c>
      <c r="C6" s="3">
        <v>13.64</v>
      </c>
      <c r="D6" s="3">
        <v>23.98</v>
      </c>
      <c r="E6" s="3">
        <v>50.42</v>
      </c>
      <c r="F6" s="3">
        <v>89.65</v>
      </c>
      <c r="G6" s="3">
        <v>70.040000000000006</v>
      </c>
    </row>
    <row r="7" spans="1:7" x14ac:dyDescent="0.25">
      <c r="A7" s="1" t="s">
        <v>11</v>
      </c>
      <c r="B7" s="1">
        <v>126.38</v>
      </c>
      <c r="C7" s="1">
        <v>124.53</v>
      </c>
      <c r="D7" s="1">
        <v>227.55</v>
      </c>
      <c r="E7" s="1">
        <v>491.47</v>
      </c>
      <c r="F7" s="1">
        <v>880.51</v>
      </c>
      <c r="G7" s="1">
        <v>679.29</v>
      </c>
    </row>
    <row r="8" spans="1:7" x14ac:dyDescent="0.25">
      <c r="A8" s="1" t="s">
        <v>12</v>
      </c>
      <c r="B8" s="1">
        <v>12.64</v>
      </c>
      <c r="C8" s="1">
        <v>12.58</v>
      </c>
      <c r="D8" s="1">
        <v>22.99</v>
      </c>
      <c r="E8" s="1">
        <v>49.64</v>
      </c>
      <c r="F8" s="1">
        <v>88.94</v>
      </c>
      <c r="G8" s="1">
        <v>69.319999999999993</v>
      </c>
    </row>
    <row r="9" spans="1:7" x14ac:dyDescent="0.25">
      <c r="A9" s="1" t="s">
        <v>13</v>
      </c>
      <c r="B9" s="1">
        <v>13.25</v>
      </c>
      <c r="C9" s="1">
        <v>-15.02</v>
      </c>
      <c r="D9" s="1">
        <v>-163.93</v>
      </c>
      <c r="E9" s="1">
        <v>474.89</v>
      </c>
      <c r="F9" s="1">
        <v>878</v>
      </c>
      <c r="G9" s="1">
        <v>662.06</v>
      </c>
    </row>
    <row r="10" spans="1:7" x14ac:dyDescent="0.25">
      <c r="A10" s="1" t="s">
        <v>14</v>
      </c>
      <c r="B10" s="1">
        <v>1.33</v>
      </c>
      <c r="C10" s="1">
        <v>-1.52</v>
      </c>
      <c r="D10" s="1">
        <v>-16.559999999999999</v>
      </c>
      <c r="E10" s="1">
        <v>47.97</v>
      </c>
      <c r="F10" s="1">
        <v>88.69</v>
      </c>
      <c r="G10" s="1">
        <v>67.56</v>
      </c>
    </row>
    <row r="11" spans="1:7" x14ac:dyDescent="0.25">
      <c r="A11" s="1" t="s">
        <v>15</v>
      </c>
      <c r="B11" s="1">
        <v>4.4400000000000004</v>
      </c>
      <c r="C11" s="1">
        <v>1.3</v>
      </c>
      <c r="D11" s="1">
        <v>148.4</v>
      </c>
      <c r="E11" s="1">
        <v>431.76</v>
      </c>
      <c r="F11" s="1">
        <v>726.55</v>
      </c>
      <c r="G11" s="1">
        <v>574.01</v>
      </c>
    </row>
    <row r="12" spans="1:7" x14ac:dyDescent="0.25">
      <c r="A12" s="1" t="s">
        <v>16</v>
      </c>
      <c r="B12" s="1">
        <v>324.01</v>
      </c>
      <c r="C12" s="1">
        <v>340.72</v>
      </c>
      <c r="D12" s="1">
        <v>306.42</v>
      </c>
      <c r="E12" s="1">
        <v>281.07</v>
      </c>
      <c r="F12" s="1">
        <v>298.29000000000002</v>
      </c>
      <c r="G12" s="1">
        <v>286.81</v>
      </c>
    </row>
    <row r="13" spans="1:7" x14ac:dyDescent="0.25">
      <c r="A13" s="1" t="s">
        <v>17</v>
      </c>
      <c r="B13" s="1">
        <v>24.38</v>
      </c>
      <c r="C13" s="1">
        <v>22.25</v>
      </c>
      <c r="D13" s="1">
        <v>21.04</v>
      </c>
      <c r="E13" s="1">
        <v>25.18</v>
      </c>
      <c r="F13" s="1">
        <v>34.64</v>
      </c>
      <c r="G13" s="1">
        <v>26.55</v>
      </c>
    </row>
    <row r="14" spans="1:7" x14ac:dyDescent="0.25">
      <c r="A14" s="1" t="s">
        <v>18</v>
      </c>
      <c r="B14" s="1">
        <v>35.79</v>
      </c>
      <c r="C14" s="1">
        <v>32.44</v>
      </c>
      <c r="D14" s="1">
        <v>35.32</v>
      </c>
      <c r="E14" s="1">
        <v>58.81</v>
      </c>
      <c r="F14" s="1">
        <v>88.68</v>
      </c>
      <c r="G14" s="1">
        <v>61.92</v>
      </c>
    </row>
    <row r="15" spans="1:7" x14ac:dyDescent="0.25">
      <c r="A15" s="1" t="s">
        <v>19</v>
      </c>
      <c r="B15" s="1">
        <v>1</v>
      </c>
      <c r="C15" s="1">
        <v>1</v>
      </c>
      <c r="D15" s="1">
        <v>0</v>
      </c>
      <c r="E15" s="1">
        <v>2</v>
      </c>
      <c r="F15" s="1">
        <v>2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69.819999999999993</v>
      </c>
      <c r="C17" s="1">
        <v>54.75</v>
      </c>
      <c r="D17" s="1">
        <v>31.81</v>
      </c>
      <c r="E17" s="1">
        <v>483.18</v>
      </c>
      <c r="F17" s="1">
        <v>879.26</v>
      </c>
      <c r="G17" s="1">
        <v>670.67</v>
      </c>
    </row>
    <row r="18" spans="1:7" x14ac:dyDescent="0.25">
      <c r="A18" s="1" t="s">
        <v>22</v>
      </c>
      <c r="B18" s="1">
        <v>56.56</v>
      </c>
      <c r="C18" s="1">
        <v>69.78</v>
      </c>
      <c r="D18" s="1">
        <v>195.74</v>
      </c>
      <c r="E18" s="1">
        <v>8.2899999999999991</v>
      </c>
      <c r="F18" s="1">
        <v>1.26</v>
      </c>
      <c r="G18" s="1">
        <v>8.6199999999999992</v>
      </c>
    </row>
    <row r="19" spans="1:7" x14ac:dyDescent="0.25">
      <c r="A19" s="1" t="s">
        <v>23</v>
      </c>
      <c r="B19" s="1">
        <v>2</v>
      </c>
      <c r="C19" s="1">
        <v>2</v>
      </c>
      <c r="D19" s="1">
        <v>2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2.5</v>
      </c>
      <c r="C20" s="1">
        <v>2.6</v>
      </c>
      <c r="D20" s="1">
        <v>5.8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7.6</v>
      </c>
      <c r="C21" s="1">
        <v>7.4</v>
      </c>
      <c r="D21" s="1">
        <v>4.2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2.2999999999999998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7.7</v>
      </c>
      <c r="E25" s="1">
        <v>1.1000000000000001</v>
      </c>
      <c r="F25" s="1">
        <v>0</v>
      </c>
      <c r="G25" s="1">
        <v>0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8.9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23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77</v>
      </c>
      <c r="E30" s="3">
        <f t="shared" si="2"/>
        <v>11.000000000000002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89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0.02</v>
      </c>
      <c r="C33" s="3">
        <v>-0.01</v>
      </c>
      <c r="D33" s="3">
        <v>-16.05</v>
      </c>
      <c r="E33" s="3">
        <v>46.43</v>
      </c>
      <c r="F33" s="3">
        <v>88.02</v>
      </c>
      <c r="G33" s="3">
        <v>68.209999999999994</v>
      </c>
    </row>
    <row r="35" spans="1:7" x14ac:dyDescent="0.25">
      <c r="A35" s="3" t="s">
        <v>36</v>
      </c>
      <c r="B35" s="3"/>
      <c r="C35" s="3"/>
      <c r="D35" s="3">
        <f>D33-C33</f>
        <v>-16.04</v>
      </c>
      <c r="E35" s="3"/>
      <c r="F35" s="3">
        <f>F33-E33</f>
        <v>41.589999999999996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62.480000000000004</v>
      </c>
      <c r="F37" s="3"/>
      <c r="G37" s="3">
        <f>G33-F33</f>
        <v>-19.810000000000002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29E85-BA5F-491B-B73B-D59DB2BF55AD}">
  <dimension ref="A1:G37"/>
  <sheetViews>
    <sheetView topLeftCell="A7" workbookViewId="0">
      <selection activeCell="M23" sqref="M2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555.39</v>
      </c>
      <c r="C2" s="1">
        <v>573.05999999999995</v>
      </c>
      <c r="D2" s="1">
        <v>573.1</v>
      </c>
      <c r="E2" s="1">
        <v>585.65</v>
      </c>
      <c r="F2" s="1">
        <v>575.23</v>
      </c>
      <c r="G2" s="1">
        <v>605.59</v>
      </c>
    </row>
    <row r="3" spans="1:7" x14ac:dyDescent="0.25">
      <c r="A3" s="1" t="s">
        <v>7</v>
      </c>
      <c r="B3" s="1">
        <v>41.54</v>
      </c>
      <c r="C3" s="1">
        <v>41.69</v>
      </c>
      <c r="D3" s="1">
        <v>40.89</v>
      </c>
      <c r="E3" s="1">
        <v>41.43</v>
      </c>
      <c r="F3" s="1">
        <v>42.28</v>
      </c>
      <c r="G3" s="1">
        <v>51.49</v>
      </c>
    </row>
    <row r="4" spans="1:7" x14ac:dyDescent="0.25">
      <c r="A4" s="1" t="s">
        <v>8</v>
      </c>
      <c r="B4" s="1">
        <v>23414.11</v>
      </c>
      <c r="C4" s="1">
        <v>24272.240000000002</v>
      </c>
      <c r="D4" s="1">
        <v>23802.86</v>
      </c>
      <c r="E4" s="1">
        <v>24671.5</v>
      </c>
      <c r="F4" s="1">
        <v>24727.67</v>
      </c>
      <c r="G4" s="1">
        <v>31719.58</v>
      </c>
    </row>
    <row r="5" spans="1:7" x14ac:dyDescent="0.25">
      <c r="A5" s="1" t="s">
        <v>9</v>
      </c>
      <c r="B5" s="1">
        <v>618.85</v>
      </c>
      <c r="C5" s="1">
        <v>746.99</v>
      </c>
      <c r="D5" s="1">
        <v>335.03</v>
      </c>
      <c r="E5" s="1">
        <v>915.19</v>
      </c>
      <c r="F5" s="1">
        <v>813.38</v>
      </c>
      <c r="G5" s="1">
        <v>821.68</v>
      </c>
    </row>
    <row r="6" spans="1:7" x14ac:dyDescent="0.25">
      <c r="A6" s="3" t="s">
        <v>10</v>
      </c>
      <c r="B6" s="3">
        <v>61.89</v>
      </c>
      <c r="C6" s="3">
        <v>75.45</v>
      </c>
      <c r="D6" s="3">
        <v>33.840000000000003</v>
      </c>
      <c r="E6" s="3">
        <v>92.44</v>
      </c>
      <c r="F6" s="3">
        <v>82.16</v>
      </c>
      <c r="G6" s="3">
        <v>83.84</v>
      </c>
    </row>
    <row r="7" spans="1:7" x14ac:dyDescent="0.25">
      <c r="A7" s="1" t="s">
        <v>11</v>
      </c>
      <c r="B7" s="1">
        <v>603.49</v>
      </c>
      <c r="C7" s="1">
        <v>725.34</v>
      </c>
      <c r="D7" s="1">
        <v>319.14</v>
      </c>
      <c r="E7" s="1">
        <v>889.9</v>
      </c>
      <c r="F7" s="1">
        <v>781.44</v>
      </c>
      <c r="G7" s="1">
        <v>803.94</v>
      </c>
    </row>
    <row r="8" spans="1:7" x14ac:dyDescent="0.25">
      <c r="A8" s="1" t="s">
        <v>12</v>
      </c>
      <c r="B8" s="1">
        <v>60.35</v>
      </c>
      <c r="C8" s="1">
        <v>73.27</v>
      </c>
      <c r="D8" s="1">
        <v>32.24</v>
      </c>
      <c r="E8" s="1">
        <v>89.89</v>
      </c>
      <c r="F8" s="1">
        <v>78.930000000000007</v>
      </c>
      <c r="G8" s="1">
        <v>82.03</v>
      </c>
    </row>
    <row r="9" spans="1:7" x14ac:dyDescent="0.25">
      <c r="A9" s="1" t="s">
        <v>13</v>
      </c>
      <c r="B9" s="1">
        <v>580.21</v>
      </c>
      <c r="C9" s="1">
        <v>718.56</v>
      </c>
      <c r="D9" s="1">
        <v>132.13</v>
      </c>
      <c r="E9" s="1">
        <v>866.29</v>
      </c>
      <c r="F9" s="1">
        <v>774.4</v>
      </c>
      <c r="G9" s="1">
        <v>803.94</v>
      </c>
    </row>
    <row r="10" spans="1:7" x14ac:dyDescent="0.25">
      <c r="A10" s="1" t="s">
        <v>14</v>
      </c>
      <c r="B10" s="1">
        <v>58.02</v>
      </c>
      <c r="C10" s="1">
        <v>72.58</v>
      </c>
      <c r="D10" s="1">
        <v>13.35</v>
      </c>
      <c r="E10" s="1">
        <v>87.5</v>
      </c>
      <c r="F10" s="1">
        <v>78.22</v>
      </c>
      <c r="G10" s="1">
        <v>82.03</v>
      </c>
    </row>
    <row r="11" spans="1:7" x14ac:dyDescent="0.25">
      <c r="A11" s="1" t="s">
        <v>15</v>
      </c>
      <c r="B11" s="1">
        <v>360.94</v>
      </c>
      <c r="C11" s="1">
        <v>616.74</v>
      </c>
      <c r="D11" s="1">
        <v>119.75</v>
      </c>
      <c r="E11" s="1">
        <v>709.4</v>
      </c>
      <c r="F11" s="1">
        <v>601.58000000000004</v>
      </c>
      <c r="G11" s="1">
        <v>748.65</v>
      </c>
    </row>
    <row r="12" spans="1:7" x14ac:dyDescent="0.25">
      <c r="A12" s="1" t="s">
        <v>16</v>
      </c>
      <c r="B12" s="1">
        <v>290.86</v>
      </c>
      <c r="C12" s="1">
        <v>299.95999999999998</v>
      </c>
      <c r="D12" s="1">
        <v>327.67</v>
      </c>
      <c r="E12" s="1">
        <v>301.02</v>
      </c>
      <c r="F12" s="1">
        <v>296.89</v>
      </c>
      <c r="G12" s="1">
        <v>320.08999999999997</v>
      </c>
    </row>
    <row r="13" spans="1:7" x14ac:dyDescent="0.25">
      <c r="A13" s="1" t="s">
        <v>17</v>
      </c>
      <c r="B13" s="1">
        <v>45.62</v>
      </c>
      <c r="C13" s="1">
        <v>30.25</v>
      </c>
      <c r="D13" s="1">
        <v>43.35</v>
      </c>
      <c r="E13" s="1">
        <v>38.159999999999997</v>
      </c>
      <c r="F13" s="1">
        <v>39.72</v>
      </c>
      <c r="G13" s="1">
        <v>21.15</v>
      </c>
    </row>
    <row r="14" spans="1:7" x14ac:dyDescent="0.25">
      <c r="A14" s="1" t="s">
        <v>18</v>
      </c>
      <c r="B14" s="1">
        <v>96.31</v>
      </c>
      <c r="C14" s="1">
        <v>61.36</v>
      </c>
      <c r="D14" s="1">
        <v>76.22</v>
      </c>
      <c r="E14" s="1">
        <v>95.37</v>
      </c>
      <c r="F14" s="1">
        <v>96.94</v>
      </c>
      <c r="G14" s="1">
        <v>48.72</v>
      </c>
    </row>
    <row r="15" spans="1:7" x14ac:dyDescent="0.25">
      <c r="A15" s="1" t="s">
        <v>19</v>
      </c>
      <c r="B15" s="1">
        <v>2</v>
      </c>
      <c r="C15" s="1">
        <v>4</v>
      </c>
      <c r="D15" s="1">
        <v>1</v>
      </c>
      <c r="E15" s="1">
        <v>3</v>
      </c>
      <c r="F15" s="1">
        <v>3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591.85</v>
      </c>
      <c r="C17" s="1">
        <v>721.95</v>
      </c>
      <c r="D17" s="1">
        <v>225.63</v>
      </c>
      <c r="E17" s="1">
        <v>878.09</v>
      </c>
      <c r="F17" s="1">
        <v>777.92</v>
      </c>
      <c r="G17" s="1">
        <v>803.94</v>
      </c>
    </row>
    <row r="18" spans="1:7" x14ac:dyDescent="0.25">
      <c r="A18" s="1" t="s">
        <v>22</v>
      </c>
      <c r="B18" s="1">
        <v>11.64</v>
      </c>
      <c r="C18" s="1">
        <v>3.39</v>
      </c>
      <c r="D18" s="1">
        <v>93.5</v>
      </c>
      <c r="E18" s="1">
        <v>11.8</v>
      </c>
      <c r="F18" s="1">
        <v>3.52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2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2.7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7.3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1.2</v>
      </c>
      <c r="C25" s="1">
        <v>0</v>
      </c>
      <c r="D25" s="1">
        <v>7.8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8.9</v>
      </c>
      <c r="C26" s="1">
        <v>10</v>
      </c>
      <c r="D26" s="1">
        <v>2.2000000000000002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11.881188118811881</v>
      </c>
      <c r="C30" s="3">
        <f t="shared" ref="C30:G30" si="2">C25/C28*100</f>
        <v>0</v>
      </c>
      <c r="D30" s="3">
        <f t="shared" si="2"/>
        <v>78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88.118811881188137</v>
      </c>
      <c r="C31" s="3">
        <f t="shared" ref="C31:G31" si="3">C26/C28*100</f>
        <v>100</v>
      </c>
      <c r="D31" s="3">
        <f t="shared" si="3"/>
        <v>22.000000000000004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57.54</v>
      </c>
      <c r="C33" s="3">
        <v>75.89</v>
      </c>
      <c r="D33" s="3">
        <v>14.31</v>
      </c>
      <c r="E33" s="3">
        <v>87.58</v>
      </c>
      <c r="F33" s="3">
        <v>80.349999999999994</v>
      </c>
      <c r="G33" s="3">
        <v>84.49</v>
      </c>
    </row>
    <row r="35" spans="1:7" x14ac:dyDescent="0.25">
      <c r="A35" s="3" t="s">
        <v>36</v>
      </c>
      <c r="B35" s="3"/>
      <c r="C35" s="3"/>
      <c r="D35" s="3">
        <f>D33-C33</f>
        <v>-61.58</v>
      </c>
      <c r="E35" s="3"/>
      <c r="F35" s="3">
        <f>F33-E33</f>
        <v>-7.230000000000004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73.27</v>
      </c>
      <c r="F37" s="3"/>
      <c r="G37" s="3">
        <f>G33-F33</f>
        <v>4.1400000000000006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4A9B-4F6A-4E8A-9780-DBAA74226F86}">
  <dimension ref="A1:G37"/>
  <sheetViews>
    <sheetView topLeftCell="A13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612.69000000000005</v>
      </c>
      <c r="C2" s="1">
        <v>614.6</v>
      </c>
      <c r="D2" s="1">
        <v>614.59</v>
      </c>
      <c r="E2" s="1">
        <v>615.85</v>
      </c>
      <c r="F2" s="1">
        <v>615.04</v>
      </c>
      <c r="G2" s="1">
        <v>616.29</v>
      </c>
    </row>
    <row r="3" spans="1:7" x14ac:dyDescent="0.25">
      <c r="A3" s="1" t="s">
        <v>7</v>
      </c>
      <c r="B3" s="1">
        <v>44.45</v>
      </c>
      <c r="C3" s="1">
        <v>44.39</v>
      </c>
      <c r="D3" s="1">
        <v>44.38</v>
      </c>
      <c r="E3" s="1">
        <v>44.39</v>
      </c>
      <c r="F3" s="1">
        <v>44.46</v>
      </c>
      <c r="G3" s="1">
        <v>44.52</v>
      </c>
    </row>
    <row r="4" spans="1:7" x14ac:dyDescent="0.25">
      <c r="A4" s="1" t="s">
        <v>8</v>
      </c>
      <c r="B4" s="1">
        <v>27699.59</v>
      </c>
      <c r="C4" s="1">
        <v>27752.86</v>
      </c>
      <c r="D4" s="1">
        <v>27744.66</v>
      </c>
      <c r="E4" s="1">
        <v>27805.48</v>
      </c>
      <c r="F4" s="1">
        <v>27815.27</v>
      </c>
      <c r="G4" s="1">
        <v>27907.81</v>
      </c>
    </row>
    <row r="5" spans="1:7" x14ac:dyDescent="0.25">
      <c r="A5" s="1" t="s">
        <v>9</v>
      </c>
      <c r="B5" s="1">
        <v>73.47</v>
      </c>
      <c r="C5" s="1">
        <v>65.87</v>
      </c>
      <c r="D5" s="1">
        <v>61.61</v>
      </c>
      <c r="E5" s="1">
        <v>64.03</v>
      </c>
      <c r="F5" s="1">
        <v>63.22</v>
      </c>
      <c r="G5" s="1">
        <v>67.17</v>
      </c>
    </row>
    <row r="6" spans="1:7" x14ac:dyDescent="0.25">
      <c r="A6" s="3" t="s">
        <v>10</v>
      </c>
      <c r="B6" s="3">
        <v>7.35</v>
      </c>
      <c r="C6" s="3">
        <v>6.65</v>
      </c>
      <c r="D6" s="3">
        <v>6.22</v>
      </c>
      <c r="E6" s="3">
        <v>6.47</v>
      </c>
      <c r="F6" s="3">
        <v>6.39</v>
      </c>
      <c r="G6" s="3">
        <v>6.85</v>
      </c>
    </row>
    <row r="7" spans="1:7" x14ac:dyDescent="0.25">
      <c r="A7" s="1" t="s">
        <v>11</v>
      </c>
      <c r="B7" s="1">
        <v>68.81</v>
      </c>
      <c r="C7" s="1">
        <v>58.73</v>
      </c>
      <c r="D7" s="1">
        <v>53.8</v>
      </c>
      <c r="E7" s="1">
        <v>55.83</v>
      </c>
      <c r="F7" s="1">
        <v>53.18</v>
      </c>
      <c r="G7" s="1">
        <v>60.09</v>
      </c>
    </row>
    <row r="8" spans="1:7" x14ac:dyDescent="0.25">
      <c r="A8" s="1" t="s">
        <v>12</v>
      </c>
      <c r="B8" s="1">
        <v>6.88</v>
      </c>
      <c r="C8" s="1">
        <v>5.93</v>
      </c>
      <c r="D8" s="1">
        <v>5.43</v>
      </c>
      <c r="E8" s="1">
        <v>5.64</v>
      </c>
      <c r="F8" s="1">
        <v>5.37</v>
      </c>
      <c r="G8" s="1">
        <v>6.13</v>
      </c>
    </row>
    <row r="9" spans="1:7" x14ac:dyDescent="0.25">
      <c r="A9" s="1" t="s">
        <v>13</v>
      </c>
      <c r="B9" s="1">
        <v>-6.3</v>
      </c>
      <c r="C9" s="1">
        <v>6.4</v>
      </c>
      <c r="D9" s="1">
        <v>-5.54</v>
      </c>
      <c r="E9" s="1">
        <v>5.48</v>
      </c>
      <c r="F9" s="1">
        <v>-5.66</v>
      </c>
      <c r="G9" s="1">
        <v>-7.4</v>
      </c>
    </row>
    <row r="10" spans="1:7" x14ac:dyDescent="0.25">
      <c r="A10" s="1" t="s">
        <v>14</v>
      </c>
      <c r="B10" s="1">
        <v>-0.63</v>
      </c>
      <c r="C10" s="1">
        <v>0.65</v>
      </c>
      <c r="D10" s="1">
        <v>-0.56000000000000005</v>
      </c>
      <c r="E10" s="1">
        <v>0.55000000000000004</v>
      </c>
      <c r="F10" s="1">
        <v>-0.56999999999999995</v>
      </c>
      <c r="G10" s="1">
        <v>-0.76</v>
      </c>
    </row>
    <row r="11" spans="1:7" x14ac:dyDescent="0.25">
      <c r="A11" s="1" t="s">
        <v>15</v>
      </c>
      <c r="B11" s="1">
        <v>0.46</v>
      </c>
      <c r="C11" s="1">
        <v>1.98</v>
      </c>
      <c r="D11" s="1">
        <v>2.15</v>
      </c>
      <c r="E11" s="1">
        <v>3.24</v>
      </c>
      <c r="F11" s="1">
        <v>1.34</v>
      </c>
      <c r="G11" s="1">
        <v>1.65</v>
      </c>
    </row>
    <row r="12" spans="1:7" x14ac:dyDescent="0.25">
      <c r="A12" s="1" t="s">
        <v>16</v>
      </c>
      <c r="B12" s="1">
        <v>473.97</v>
      </c>
      <c r="C12" s="1">
        <v>470.15</v>
      </c>
      <c r="D12" s="1">
        <v>453.44</v>
      </c>
      <c r="E12" s="1">
        <v>448.16</v>
      </c>
      <c r="F12" s="1">
        <v>465.6</v>
      </c>
      <c r="G12" s="1">
        <v>441.61</v>
      </c>
    </row>
    <row r="13" spans="1:7" x14ac:dyDescent="0.25">
      <c r="A13" s="1" t="s">
        <v>17</v>
      </c>
      <c r="B13" s="1">
        <v>53.64</v>
      </c>
      <c r="C13" s="1">
        <v>53.81</v>
      </c>
      <c r="D13" s="1">
        <v>53.76</v>
      </c>
      <c r="E13" s="1">
        <v>53.8</v>
      </c>
      <c r="F13" s="1">
        <v>53.85</v>
      </c>
      <c r="G13" s="1">
        <v>53.95</v>
      </c>
    </row>
    <row r="14" spans="1:7" x14ac:dyDescent="0.25">
      <c r="A14" s="1" t="s">
        <v>18</v>
      </c>
      <c r="B14" s="1">
        <v>56.44</v>
      </c>
      <c r="C14" s="1">
        <v>55.87</v>
      </c>
      <c r="D14" s="1">
        <v>56.39</v>
      </c>
      <c r="E14" s="1">
        <v>56.16</v>
      </c>
      <c r="F14" s="1">
        <v>55.97</v>
      </c>
      <c r="G14" s="1">
        <v>55.85</v>
      </c>
    </row>
    <row r="15" spans="1:7" x14ac:dyDescent="0.25">
      <c r="A15" s="1" t="s">
        <v>19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31.26</v>
      </c>
      <c r="C17" s="1">
        <v>32.56</v>
      </c>
      <c r="D17" s="1">
        <v>24.13</v>
      </c>
      <c r="E17" s="1">
        <v>30.65</v>
      </c>
      <c r="F17" s="1">
        <v>23.76</v>
      </c>
      <c r="G17" s="1">
        <v>26.34</v>
      </c>
    </row>
    <row r="18" spans="1:7" x14ac:dyDescent="0.25">
      <c r="A18" s="1" t="s">
        <v>22</v>
      </c>
      <c r="B18" s="1">
        <v>37.56</v>
      </c>
      <c r="C18" s="1">
        <v>26.17</v>
      </c>
      <c r="D18" s="1">
        <v>29.67</v>
      </c>
      <c r="E18" s="1">
        <v>25.17</v>
      </c>
      <c r="F18" s="1">
        <v>29.42</v>
      </c>
      <c r="G18" s="1">
        <v>33.75</v>
      </c>
    </row>
    <row r="19" spans="1:7" x14ac:dyDescent="0.25">
      <c r="A19" s="1" t="s">
        <v>23</v>
      </c>
      <c r="B19" s="1">
        <v>0</v>
      </c>
      <c r="C19" s="1">
        <v>2</v>
      </c>
      <c r="D19" s="1">
        <v>1</v>
      </c>
      <c r="E19" s="1">
        <v>3</v>
      </c>
      <c r="F19" s="1">
        <v>1</v>
      </c>
      <c r="G19" s="1">
        <v>1</v>
      </c>
    </row>
    <row r="20" spans="1:7" x14ac:dyDescent="0.25">
      <c r="A20" s="1" t="s">
        <v>24</v>
      </c>
      <c r="B20" s="1">
        <v>0</v>
      </c>
      <c r="C20" s="1">
        <v>2.2999999999999998</v>
      </c>
      <c r="D20" s="1">
        <v>2.2000000000000002</v>
      </c>
      <c r="E20" s="1">
        <v>3.7</v>
      </c>
      <c r="F20" s="1">
        <v>1.7</v>
      </c>
      <c r="G20" s="1">
        <v>1.4</v>
      </c>
    </row>
    <row r="21" spans="1:7" x14ac:dyDescent="0.25">
      <c r="A21" s="1" t="s">
        <v>25</v>
      </c>
      <c r="B21" s="1">
        <v>10.1</v>
      </c>
      <c r="C21" s="1">
        <v>7.7</v>
      </c>
      <c r="D21" s="1">
        <v>7.8</v>
      </c>
      <c r="E21" s="1">
        <v>6.3</v>
      </c>
      <c r="F21" s="1">
        <v>8.3000000000000007</v>
      </c>
      <c r="G21" s="1">
        <v>8.5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10</v>
      </c>
      <c r="G25" s="1">
        <v>9.9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0.18</v>
      </c>
      <c r="C33" s="3">
        <v>-0.02</v>
      </c>
      <c r="D33" s="3">
        <v>-0.19</v>
      </c>
      <c r="E33" s="3">
        <v>0.04</v>
      </c>
      <c r="F33" s="3">
        <v>-0.15</v>
      </c>
      <c r="G33" s="3">
        <v>-0.27</v>
      </c>
    </row>
    <row r="35" spans="1:7" x14ac:dyDescent="0.25">
      <c r="A35" s="3" t="s">
        <v>36</v>
      </c>
      <c r="B35" s="3"/>
      <c r="C35" s="3"/>
      <c r="D35" s="3">
        <f>D33-C33</f>
        <v>-0.17</v>
      </c>
      <c r="E35" s="3"/>
      <c r="F35" s="3">
        <f>F33-E33</f>
        <v>-0.19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0.23</v>
      </c>
      <c r="F37" s="3"/>
      <c r="G37" s="3">
        <f>G33-F33</f>
        <v>-0.12000000000000002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0E457-7DE7-4C28-B82E-B5D0DE23E71C}">
  <dimension ref="A1:G37"/>
  <sheetViews>
    <sheetView topLeftCell="A13" workbookViewId="0">
      <selection activeCell="E44" sqref="E44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571.94000000000005</v>
      </c>
      <c r="C2" s="1">
        <v>566.08000000000004</v>
      </c>
      <c r="D2" s="1">
        <v>581.15</v>
      </c>
      <c r="E2" s="1">
        <v>568.02</v>
      </c>
      <c r="F2" s="1">
        <v>525.74</v>
      </c>
      <c r="G2" s="1">
        <v>566.95000000000005</v>
      </c>
    </row>
    <row r="3" spans="1:7" x14ac:dyDescent="0.25">
      <c r="A3" s="1" t="s">
        <v>7</v>
      </c>
      <c r="B3" s="1">
        <v>43.12</v>
      </c>
      <c r="C3" s="1">
        <v>44.08</v>
      </c>
      <c r="D3" s="1">
        <v>43.96</v>
      </c>
      <c r="E3" s="1">
        <v>48.67</v>
      </c>
      <c r="F3" s="1">
        <v>43.48</v>
      </c>
      <c r="G3" s="1">
        <v>44.49</v>
      </c>
    </row>
    <row r="4" spans="1:7" x14ac:dyDescent="0.25">
      <c r="A4" s="1" t="s">
        <v>8</v>
      </c>
      <c r="B4" s="1">
        <v>25069.53</v>
      </c>
      <c r="C4" s="1">
        <v>25352.58</v>
      </c>
      <c r="D4" s="1">
        <v>25958.61</v>
      </c>
      <c r="E4" s="1">
        <v>28215.88</v>
      </c>
      <c r="F4" s="1">
        <v>23274.98</v>
      </c>
      <c r="G4" s="1">
        <v>25620.55</v>
      </c>
    </row>
    <row r="5" spans="1:7" x14ac:dyDescent="0.25">
      <c r="A5" s="1" t="s">
        <v>9</v>
      </c>
      <c r="B5" s="1">
        <v>920.22</v>
      </c>
      <c r="C5" s="1">
        <v>982.59</v>
      </c>
      <c r="D5" s="1">
        <v>673.56</v>
      </c>
      <c r="E5" s="1">
        <v>914.19</v>
      </c>
      <c r="F5" s="1">
        <v>1388.04</v>
      </c>
      <c r="G5" s="1">
        <v>1431.09</v>
      </c>
    </row>
    <row r="6" spans="1:7" x14ac:dyDescent="0.25">
      <c r="A6" s="3" t="s">
        <v>10</v>
      </c>
      <c r="B6" s="3">
        <v>92.02</v>
      </c>
      <c r="C6" s="3">
        <v>99.25</v>
      </c>
      <c r="D6" s="3">
        <v>68.040000000000006</v>
      </c>
      <c r="E6" s="3">
        <v>92.34</v>
      </c>
      <c r="F6" s="3">
        <v>140.21</v>
      </c>
      <c r="G6" s="3">
        <v>146.03</v>
      </c>
    </row>
    <row r="7" spans="1:7" x14ac:dyDescent="0.25">
      <c r="A7" s="1" t="s">
        <v>11</v>
      </c>
      <c r="B7" s="1">
        <v>912.7</v>
      </c>
      <c r="C7" s="1">
        <v>976.68</v>
      </c>
      <c r="D7" s="1">
        <v>664.67</v>
      </c>
      <c r="E7" s="1">
        <v>795.12</v>
      </c>
      <c r="F7" s="1">
        <v>1330.1</v>
      </c>
      <c r="G7" s="1">
        <v>1412.62</v>
      </c>
    </row>
    <row r="8" spans="1:7" x14ac:dyDescent="0.25">
      <c r="A8" s="1" t="s">
        <v>12</v>
      </c>
      <c r="B8" s="1">
        <v>91.27</v>
      </c>
      <c r="C8" s="1">
        <v>98.65</v>
      </c>
      <c r="D8" s="1">
        <v>67.14</v>
      </c>
      <c r="E8" s="1">
        <v>80.319999999999993</v>
      </c>
      <c r="F8" s="1">
        <v>134.35</v>
      </c>
      <c r="G8" s="1">
        <v>144.13999999999999</v>
      </c>
    </row>
    <row r="9" spans="1:7" x14ac:dyDescent="0.25">
      <c r="A9" s="1" t="s">
        <v>13</v>
      </c>
      <c r="B9" s="1">
        <v>906.86</v>
      </c>
      <c r="C9" s="1">
        <v>976.68</v>
      </c>
      <c r="D9" s="1">
        <v>610.66999999999996</v>
      </c>
      <c r="E9" s="1">
        <v>657.1</v>
      </c>
      <c r="F9" s="1">
        <v>1327.63</v>
      </c>
      <c r="G9" s="1">
        <v>1412.62</v>
      </c>
    </row>
    <row r="10" spans="1:7" x14ac:dyDescent="0.25">
      <c r="A10" s="1" t="s">
        <v>14</v>
      </c>
      <c r="B10" s="1">
        <v>90.69</v>
      </c>
      <c r="C10" s="1">
        <v>98.65</v>
      </c>
      <c r="D10" s="1">
        <v>61.68</v>
      </c>
      <c r="E10" s="1">
        <v>66.37</v>
      </c>
      <c r="F10" s="1">
        <v>134.1</v>
      </c>
      <c r="G10" s="1">
        <v>144.13999999999999</v>
      </c>
    </row>
    <row r="11" spans="1:7" x14ac:dyDescent="0.25">
      <c r="A11" s="1" t="s">
        <v>15</v>
      </c>
      <c r="B11" s="1">
        <v>759.39</v>
      </c>
      <c r="C11" s="1">
        <v>819.04</v>
      </c>
      <c r="D11" s="1">
        <v>565.04999999999995</v>
      </c>
      <c r="E11" s="1">
        <v>248.96</v>
      </c>
      <c r="F11" s="1">
        <v>689.79</v>
      </c>
      <c r="G11" s="1">
        <v>1193.73</v>
      </c>
    </row>
    <row r="12" spans="1:7" x14ac:dyDescent="0.25">
      <c r="A12" s="1" t="s">
        <v>16</v>
      </c>
      <c r="B12" s="1">
        <v>293.60000000000002</v>
      </c>
      <c r="C12" s="1">
        <v>298.86</v>
      </c>
      <c r="D12" s="1">
        <v>280.01</v>
      </c>
      <c r="E12" s="1">
        <v>240.75</v>
      </c>
      <c r="F12" s="1">
        <v>252.54</v>
      </c>
      <c r="G12" s="1">
        <v>302.33999999999997</v>
      </c>
    </row>
    <row r="13" spans="1:7" x14ac:dyDescent="0.25">
      <c r="A13" s="1" t="s">
        <v>17</v>
      </c>
      <c r="B13" s="1">
        <v>36.1</v>
      </c>
      <c r="C13" s="1">
        <v>32.369999999999997</v>
      </c>
      <c r="D13" s="1">
        <v>34.770000000000003</v>
      </c>
      <c r="E13" s="1">
        <v>52.52</v>
      </c>
      <c r="F13" s="1">
        <v>53.29</v>
      </c>
      <c r="G13" s="1">
        <v>33.18</v>
      </c>
    </row>
    <row r="14" spans="1:7" x14ac:dyDescent="0.25">
      <c r="A14" s="1" t="s">
        <v>18</v>
      </c>
      <c r="B14" s="1">
        <v>79.08</v>
      </c>
      <c r="C14" s="1">
        <v>61.91</v>
      </c>
      <c r="D14" s="1">
        <v>81.239999999999995</v>
      </c>
      <c r="E14" s="1">
        <v>121.59</v>
      </c>
      <c r="F14" s="1">
        <v>103.77</v>
      </c>
      <c r="G14" s="1">
        <v>66.11</v>
      </c>
    </row>
    <row r="15" spans="1:7" x14ac:dyDescent="0.25">
      <c r="A15" s="1" t="s">
        <v>19</v>
      </c>
      <c r="B15" s="1">
        <v>3</v>
      </c>
      <c r="C15" s="1">
        <v>4</v>
      </c>
      <c r="D15" s="1">
        <v>2</v>
      </c>
      <c r="E15" s="1">
        <v>4</v>
      </c>
      <c r="F15" s="1">
        <v>6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909.78</v>
      </c>
      <c r="C17" s="1">
        <v>976.68</v>
      </c>
      <c r="D17" s="1">
        <v>637.66999999999996</v>
      </c>
      <c r="E17" s="1">
        <v>726.11</v>
      </c>
      <c r="F17" s="1">
        <v>1328.87</v>
      </c>
      <c r="G17" s="1">
        <v>1412.62</v>
      </c>
    </row>
    <row r="18" spans="1:7" x14ac:dyDescent="0.25">
      <c r="A18" s="1" t="s">
        <v>22</v>
      </c>
      <c r="B18" s="1">
        <v>2.92</v>
      </c>
      <c r="C18" s="1">
        <v>0</v>
      </c>
      <c r="D18" s="1">
        <v>27</v>
      </c>
      <c r="E18" s="1">
        <v>69.010000000000005</v>
      </c>
      <c r="F18" s="1">
        <v>1.23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1.4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8.6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3.7</v>
      </c>
      <c r="E25" s="1">
        <v>1.3</v>
      </c>
      <c r="F25" s="1">
        <v>2.6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6.3</v>
      </c>
      <c r="E26" s="1">
        <v>8.6999999999999993</v>
      </c>
      <c r="F26" s="1">
        <v>7.4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37</v>
      </c>
      <c r="E30" s="3">
        <f t="shared" si="2"/>
        <v>13</v>
      </c>
      <c r="F30" s="3">
        <f t="shared" si="2"/>
        <v>26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63</v>
      </c>
      <c r="E31" s="3">
        <f t="shared" si="3"/>
        <v>86.999999999999986</v>
      </c>
      <c r="F31" s="3">
        <f t="shared" si="3"/>
        <v>74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89.92</v>
      </c>
      <c r="C33" s="3">
        <v>98.35</v>
      </c>
      <c r="D33" s="3">
        <v>60.85</v>
      </c>
      <c r="E33" s="3">
        <v>69.349999999999994</v>
      </c>
      <c r="F33" s="3">
        <v>129.24</v>
      </c>
      <c r="G33" s="3">
        <v>148.1</v>
      </c>
    </row>
    <row r="35" spans="1:7" x14ac:dyDescent="0.25">
      <c r="A35" s="3" t="s">
        <v>36</v>
      </c>
      <c r="B35" s="3"/>
      <c r="C35" s="3"/>
      <c r="D35" s="3">
        <f>D33-C33</f>
        <v>-37.499999999999993</v>
      </c>
      <c r="E35" s="3"/>
      <c r="F35" s="3">
        <f>F33-E33</f>
        <v>59.890000000000015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8.4999999999999929</v>
      </c>
      <c r="F37" s="3"/>
      <c r="G37" s="3">
        <f>G33-F33</f>
        <v>18.859999999999985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A18FC-3DBE-4FD8-8FE1-A8D4E881B8DA}">
  <dimension ref="A1:G37"/>
  <sheetViews>
    <sheetView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568.1</v>
      </c>
      <c r="C2" s="1">
        <v>562.97</v>
      </c>
      <c r="D2" s="1">
        <v>579.13</v>
      </c>
      <c r="E2" s="1">
        <v>558.61</v>
      </c>
      <c r="F2" s="1">
        <v>543.78</v>
      </c>
      <c r="G2" s="1">
        <v>559.36</v>
      </c>
    </row>
    <row r="3" spans="1:7" x14ac:dyDescent="0.25">
      <c r="A3" s="1" t="s">
        <v>7</v>
      </c>
      <c r="B3" s="1">
        <v>46.86</v>
      </c>
      <c r="C3" s="1">
        <v>48.18</v>
      </c>
      <c r="D3" s="1">
        <v>48.73</v>
      </c>
      <c r="E3" s="1">
        <v>48.88</v>
      </c>
      <c r="F3" s="1">
        <v>48.54</v>
      </c>
      <c r="G3" s="1">
        <v>51.54</v>
      </c>
    </row>
    <row r="4" spans="1:7" x14ac:dyDescent="0.25">
      <c r="A4" s="1" t="s">
        <v>8</v>
      </c>
      <c r="B4" s="1">
        <v>27088.84</v>
      </c>
      <c r="C4" s="1">
        <v>27570.5</v>
      </c>
      <c r="D4" s="1">
        <v>28701.91</v>
      </c>
      <c r="E4" s="1">
        <v>27756.58</v>
      </c>
      <c r="F4" s="1">
        <v>26832.98</v>
      </c>
      <c r="G4" s="1">
        <v>29314.66</v>
      </c>
    </row>
    <row r="5" spans="1:7" x14ac:dyDescent="0.25">
      <c r="A5" s="1" t="s">
        <v>9</v>
      </c>
      <c r="B5" s="1">
        <v>839.16</v>
      </c>
      <c r="C5" s="1">
        <v>956.85</v>
      </c>
      <c r="D5" s="1">
        <v>304.35000000000002</v>
      </c>
      <c r="E5" s="1">
        <v>1323.64</v>
      </c>
      <c r="F5" s="1">
        <v>1084.95</v>
      </c>
      <c r="G5" s="1">
        <v>1342.58</v>
      </c>
    </row>
    <row r="6" spans="1:7" x14ac:dyDescent="0.25">
      <c r="A6" s="3" t="s">
        <v>10</v>
      </c>
      <c r="B6" s="3">
        <v>83.92</v>
      </c>
      <c r="C6" s="3">
        <v>96.65</v>
      </c>
      <c r="D6" s="3">
        <v>30.74</v>
      </c>
      <c r="E6" s="3">
        <v>133.69999999999999</v>
      </c>
      <c r="F6" s="3">
        <v>109.59</v>
      </c>
      <c r="G6" s="3">
        <v>137</v>
      </c>
    </row>
    <row r="7" spans="1:7" x14ac:dyDescent="0.25">
      <c r="A7" s="1" t="s">
        <v>11</v>
      </c>
      <c r="B7" s="1">
        <v>835.37</v>
      </c>
      <c r="C7" s="1">
        <v>950.97</v>
      </c>
      <c r="D7" s="1">
        <v>297.44</v>
      </c>
      <c r="E7" s="1">
        <v>1301.5899999999999</v>
      </c>
      <c r="F7" s="1">
        <v>1064.6500000000001</v>
      </c>
      <c r="G7" s="1">
        <v>1324.9</v>
      </c>
    </row>
    <row r="8" spans="1:7" x14ac:dyDescent="0.25">
      <c r="A8" s="1" t="s">
        <v>12</v>
      </c>
      <c r="B8" s="1">
        <v>83.54</v>
      </c>
      <c r="C8" s="1">
        <v>96.06</v>
      </c>
      <c r="D8" s="1">
        <v>30.04</v>
      </c>
      <c r="E8" s="1">
        <v>131.47</v>
      </c>
      <c r="F8" s="1">
        <v>107.54</v>
      </c>
      <c r="G8" s="1">
        <v>135.19</v>
      </c>
    </row>
    <row r="9" spans="1:7" x14ac:dyDescent="0.25">
      <c r="A9" s="1" t="s">
        <v>13</v>
      </c>
      <c r="B9" s="1">
        <v>835.37</v>
      </c>
      <c r="C9" s="1">
        <v>950.97</v>
      </c>
      <c r="D9" s="1">
        <v>278.52999999999997</v>
      </c>
      <c r="E9" s="1">
        <v>1298.54</v>
      </c>
      <c r="F9" s="1">
        <v>1064.6500000000001</v>
      </c>
      <c r="G9" s="1">
        <v>1324.9</v>
      </c>
    </row>
    <row r="10" spans="1:7" x14ac:dyDescent="0.25">
      <c r="A10" s="1" t="s">
        <v>14</v>
      </c>
      <c r="B10" s="1">
        <v>83.54</v>
      </c>
      <c r="C10" s="1">
        <v>96.06</v>
      </c>
      <c r="D10" s="1">
        <v>28.13</v>
      </c>
      <c r="E10" s="1">
        <v>131.16999999999999</v>
      </c>
      <c r="F10" s="1">
        <v>107.54</v>
      </c>
      <c r="G10" s="1">
        <v>135.19</v>
      </c>
    </row>
    <row r="11" spans="1:7" x14ac:dyDescent="0.25">
      <c r="A11" s="1" t="s">
        <v>15</v>
      </c>
      <c r="B11" s="1">
        <v>664.96</v>
      </c>
      <c r="C11" s="1">
        <v>743.95</v>
      </c>
      <c r="D11" s="1">
        <v>247.84</v>
      </c>
      <c r="E11" s="1">
        <v>807.9</v>
      </c>
      <c r="F11" s="1">
        <v>637.89</v>
      </c>
      <c r="G11" s="1">
        <v>1036.8</v>
      </c>
    </row>
    <row r="12" spans="1:7" x14ac:dyDescent="0.25">
      <c r="A12" s="1" t="s">
        <v>16</v>
      </c>
      <c r="B12" s="1">
        <v>285.77999999999997</v>
      </c>
      <c r="C12" s="1">
        <v>287.49</v>
      </c>
      <c r="D12" s="1">
        <v>293.08</v>
      </c>
      <c r="E12" s="1">
        <v>264.04000000000002</v>
      </c>
      <c r="F12" s="1">
        <v>255.42</v>
      </c>
      <c r="G12" s="1">
        <v>286.97000000000003</v>
      </c>
    </row>
    <row r="13" spans="1:7" x14ac:dyDescent="0.25">
      <c r="A13" s="1" t="s">
        <v>17</v>
      </c>
      <c r="B13" s="1">
        <v>40.549999999999997</v>
      </c>
      <c r="C13" s="1">
        <v>44.45</v>
      </c>
      <c r="D13" s="1">
        <v>15.43</v>
      </c>
      <c r="E13" s="1">
        <v>58.22</v>
      </c>
      <c r="F13" s="1">
        <v>44.07</v>
      </c>
      <c r="G13" s="1">
        <v>40.729999999999997</v>
      </c>
    </row>
    <row r="14" spans="1:7" x14ac:dyDescent="0.25">
      <c r="A14" s="1" t="s">
        <v>18</v>
      </c>
      <c r="B14" s="1">
        <v>85.87</v>
      </c>
      <c r="C14" s="1">
        <v>79.98</v>
      </c>
      <c r="D14" s="1">
        <v>41.77</v>
      </c>
      <c r="E14" s="1">
        <v>105.87</v>
      </c>
      <c r="F14" s="1">
        <v>108.17</v>
      </c>
      <c r="G14" s="1">
        <v>77.599999999999994</v>
      </c>
    </row>
    <row r="15" spans="1:7" x14ac:dyDescent="0.25">
      <c r="A15" s="1" t="s">
        <v>19</v>
      </c>
      <c r="B15" s="1">
        <v>3</v>
      </c>
      <c r="C15" s="1">
        <v>4</v>
      </c>
      <c r="D15" s="1">
        <v>1</v>
      </c>
      <c r="E15" s="1">
        <v>6</v>
      </c>
      <c r="F15" s="1">
        <v>5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835.37</v>
      </c>
      <c r="C17" s="1">
        <v>950.97</v>
      </c>
      <c r="D17" s="1">
        <v>287.98</v>
      </c>
      <c r="E17" s="1">
        <v>1300.06</v>
      </c>
      <c r="F17" s="1">
        <v>1064.6500000000001</v>
      </c>
      <c r="G17" s="1">
        <v>1324.9</v>
      </c>
    </row>
    <row r="18" spans="1:7" x14ac:dyDescent="0.25">
      <c r="A18" s="1" t="s">
        <v>22</v>
      </c>
      <c r="B18" s="1">
        <v>0</v>
      </c>
      <c r="C18" s="1">
        <v>0</v>
      </c>
      <c r="D18" s="1">
        <v>9.4600000000000009</v>
      </c>
      <c r="E18" s="1">
        <v>1.53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5.6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4.4000000000000004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55.999999999999993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44.000000000000007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83.02</v>
      </c>
      <c r="C33" s="3">
        <v>96.74</v>
      </c>
      <c r="D33" s="3">
        <v>28.92</v>
      </c>
      <c r="E33" s="3">
        <v>132.05000000000001</v>
      </c>
      <c r="F33" s="3">
        <v>108.66</v>
      </c>
      <c r="G33" s="3">
        <v>137.82</v>
      </c>
    </row>
    <row r="35" spans="1:7" x14ac:dyDescent="0.25">
      <c r="A35" s="3" t="s">
        <v>36</v>
      </c>
      <c r="B35" s="3"/>
      <c r="C35" s="3"/>
      <c r="D35" s="3">
        <f>D33-C33</f>
        <v>-67.819999999999993</v>
      </c>
      <c r="E35" s="3"/>
      <c r="F35" s="3">
        <f>F33-E33</f>
        <v>-23.390000000000015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103.13000000000001</v>
      </c>
      <c r="F37" s="3"/>
      <c r="G37" s="3">
        <f>G33-F33</f>
        <v>29.159999999999997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9F6FF-5495-456D-A73C-2108D1B71305}">
  <dimension ref="A1:G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549.07000000000005</v>
      </c>
      <c r="C2" s="1">
        <v>580.63</v>
      </c>
      <c r="D2" s="1">
        <v>568.37</v>
      </c>
      <c r="E2" s="1">
        <v>588.97</v>
      </c>
      <c r="F2" s="1">
        <v>597.01</v>
      </c>
      <c r="G2" s="1">
        <v>596.33000000000004</v>
      </c>
    </row>
    <row r="3" spans="1:7" x14ac:dyDescent="0.25">
      <c r="A3" s="1" t="s">
        <v>7</v>
      </c>
      <c r="B3" s="1">
        <v>44.54</v>
      </c>
      <c r="C3" s="1">
        <v>51.03</v>
      </c>
      <c r="D3" s="1">
        <v>51.82</v>
      </c>
      <c r="E3" s="1">
        <v>62.35</v>
      </c>
      <c r="F3" s="1">
        <v>61.51</v>
      </c>
      <c r="G3" s="1">
        <v>61.14</v>
      </c>
    </row>
    <row r="4" spans="1:7" x14ac:dyDescent="0.25">
      <c r="A4" s="1" t="s">
        <v>8</v>
      </c>
      <c r="B4" s="1">
        <v>24834.28</v>
      </c>
      <c r="C4" s="1">
        <v>30125.39</v>
      </c>
      <c r="D4" s="1">
        <v>29963.13</v>
      </c>
      <c r="E4" s="1">
        <v>37374.51</v>
      </c>
      <c r="F4" s="1">
        <v>37357.040000000001</v>
      </c>
      <c r="G4" s="1">
        <v>37096.769999999997</v>
      </c>
    </row>
    <row r="5" spans="1:7" x14ac:dyDescent="0.25">
      <c r="A5" s="1" t="s">
        <v>9</v>
      </c>
      <c r="B5" s="1">
        <v>990.88</v>
      </c>
      <c r="C5" s="1">
        <v>1178.98</v>
      </c>
      <c r="D5" s="1">
        <v>641.82000000000005</v>
      </c>
      <c r="E5" s="1">
        <v>993.61</v>
      </c>
      <c r="F5" s="1">
        <v>1422.37</v>
      </c>
      <c r="G5" s="1">
        <v>1138.67</v>
      </c>
    </row>
    <row r="6" spans="1:7" x14ac:dyDescent="0.25">
      <c r="A6" s="3" t="s">
        <v>10</v>
      </c>
      <c r="B6" s="3">
        <v>99.09</v>
      </c>
      <c r="C6" s="3">
        <v>119.09</v>
      </c>
      <c r="D6" s="3">
        <v>64.83</v>
      </c>
      <c r="E6" s="3">
        <v>100.37</v>
      </c>
      <c r="F6" s="3">
        <v>143.66999999999999</v>
      </c>
      <c r="G6" s="3">
        <v>116.19</v>
      </c>
    </row>
    <row r="7" spans="1:7" x14ac:dyDescent="0.25">
      <c r="A7" s="1" t="s">
        <v>11</v>
      </c>
      <c r="B7" s="1">
        <v>976.37</v>
      </c>
      <c r="C7" s="1">
        <v>1165.21</v>
      </c>
      <c r="D7" s="1">
        <v>625.48</v>
      </c>
      <c r="E7" s="1">
        <v>967.63</v>
      </c>
      <c r="F7" s="1">
        <v>1396.57</v>
      </c>
      <c r="G7" s="1">
        <v>1122.3399999999999</v>
      </c>
    </row>
    <row r="8" spans="1:7" x14ac:dyDescent="0.25">
      <c r="A8" s="1" t="s">
        <v>12</v>
      </c>
      <c r="B8" s="1">
        <v>97.64</v>
      </c>
      <c r="C8" s="1">
        <v>117.7</v>
      </c>
      <c r="D8" s="1">
        <v>63.18</v>
      </c>
      <c r="E8" s="1">
        <v>97.74</v>
      </c>
      <c r="F8" s="1">
        <v>141.07</v>
      </c>
      <c r="G8" s="1">
        <v>114.52</v>
      </c>
    </row>
    <row r="9" spans="1:7" x14ac:dyDescent="0.25">
      <c r="A9" s="1" t="s">
        <v>13</v>
      </c>
      <c r="B9" s="1">
        <v>975.41</v>
      </c>
      <c r="C9" s="1">
        <v>1165.21</v>
      </c>
      <c r="D9" s="1">
        <v>491.84</v>
      </c>
      <c r="E9" s="1">
        <v>965.52</v>
      </c>
      <c r="F9" s="1">
        <v>1396.57</v>
      </c>
      <c r="G9" s="1">
        <v>1122.3399999999999</v>
      </c>
    </row>
    <row r="10" spans="1:7" x14ac:dyDescent="0.25">
      <c r="A10" s="1" t="s">
        <v>14</v>
      </c>
      <c r="B10" s="1">
        <v>97.54</v>
      </c>
      <c r="C10" s="1">
        <v>117.7</v>
      </c>
      <c r="D10" s="1">
        <v>49.68</v>
      </c>
      <c r="E10" s="1">
        <v>97.53</v>
      </c>
      <c r="F10" s="1">
        <v>141.07</v>
      </c>
      <c r="G10" s="1">
        <v>114.52</v>
      </c>
    </row>
    <row r="11" spans="1:7" x14ac:dyDescent="0.25">
      <c r="A11" s="1" t="s">
        <v>15</v>
      </c>
      <c r="B11" s="1">
        <v>788.59</v>
      </c>
      <c r="C11" s="1">
        <v>895.14</v>
      </c>
      <c r="D11" s="1">
        <v>410.98</v>
      </c>
      <c r="E11" s="1">
        <v>513.11</v>
      </c>
      <c r="F11" s="1">
        <v>987.2</v>
      </c>
      <c r="G11" s="1">
        <v>934.28</v>
      </c>
    </row>
    <row r="12" spans="1:7" x14ac:dyDescent="0.25">
      <c r="A12" s="1" t="s">
        <v>16</v>
      </c>
      <c r="B12" s="1">
        <v>301.45</v>
      </c>
      <c r="C12" s="1">
        <v>300.08999999999997</v>
      </c>
      <c r="D12" s="1">
        <v>294.64</v>
      </c>
      <c r="E12" s="1">
        <v>281.20999999999998</v>
      </c>
      <c r="F12" s="1">
        <v>290.19</v>
      </c>
      <c r="G12" s="1">
        <v>313.05</v>
      </c>
    </row>
    <row r="13" spans="1:7" x14ac:dyDescent="0.25">
      <c r="A13" s="1" t="s">
        <v>17</v>
      </c>
      <c r="B13" s="1">
        <v>37.93</v>
      </c>
      <c r="C13" s="1">
        <v>40.26</v>
      </c>
      <c r="D13" s="1">
        <v>49.31</v>
      </c>
      <c r="E13" s="1">
        <v>54.18</v>
      </c>
      <c r="F13" s="1">
        <v>67.3</v>
      </c>
      <c r="G13" s="1">
        <v>36.450000000000003</v>
      </c>
    </row>
    <row r="14" spans="1:7" x14ac:dyDescent="0.25">
      <c r="A14" s="1" t="s">
        <v>18</v>
      </c>
      <c r="B14" s="1">
        <v>81.06</v>
      </c>
      <c r="C14" s="1">
        <v>87.41</v>
      </c>
      <c r="D14" s="1">
        <v>77.73</v>
      </c>
      <c r="E14" s="1">
        <v>119.13</v>
      </c>
      <c r="F14" s="1">
        <v>107.37</v>
      </c>
      <c r="G14" s="1">
        <v>84.13</v>
      </c>
    </row>
    <row r="15" spans="1:7" x14ac:dyDescent="0.25">
      <c r="A15" s="1" t="s">
        <v>19</v>
      </c>
      <c r="B15" s="1">
        <v>3</v>
      </c>
      <c r="C15" s="1">
        <v>5</v>
      </c>
      <c r="D15" s="1">
        <v>2</v>
      </c>
      <c r="E15" s="1">
        <v>4</v>
      </c>
      <c r="F15" s="1">
        <v>7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975.89</v>
      </c>
      <c r="C17" s="1">
        <v>1165.21</v>
      </c>
      <c r="D17" s="1">
        <v>558.66</v>
      </c>
      <c r="E17" s="1">
        <v>966.58</v>
      </c>
      <c r="F17" s="1">
        <v>1396.57</v>
      </c>
      <c r="G17" s="1">
        <v>1122.3399999999999</v>
      </c>
    </row>
    <row r="18" spans="1:7" x14ac:dyDescent="0.25">
      <c r="A18" s="1" t="s">
        <v>22</v>
      </c>
      <c r="B18" s="1">
        <v>0.48</v>
      </c>
      <c r="C18" s="1">
        <v>0</v>
      </c>
      <c r="D18" s="1">
        <v>66.819999999999993</v>
      </c>
      <c r="E18" s="1">
        <v>1.05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2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2.7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7.3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4.7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5.3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47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53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97.97</v>
      </c>
      <c r="C33" s="3">
        <v>116.02</v>
      </c>
      <c r="D33" s="3">
        <v>46.9</v>
      </c>
      <c r="E33" s="3">
        <v>98.07</v>
      </c>
      <c r="F33" s="3">
        <v>142.85</v>
      </c>
      <c r="G33" s="3">
        <v>116.13</v>
      </c>
    </row>
    <row r="35" spans="1:7" x14ac:dyDescent="0.25">
      <c r="A35" s="3" t="s">
        <v>36</v>
      </c>
      <c r="B35" s="3"/>
      <c r="C35" s="3"/>
      <c r="D35" s="3">
        <f>D33-C33</f>
        <v>-69.12</v>
      </c>
      <c r="E35" s="3"/>
      <c r="F35" s="3">
        <f>F33-E33</f>
        <v>44.78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51.169999999999995</v>
      </c>
      <c r="F37" s="3"/>
      <c r="G37" s="3">
        <f>G33-F33</f>
        <v>-26.72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7B684-3C87-4E4D-A9DE-448067206372}">
  <dimension ref="A1:G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576.72</v>
      </c>
      <c r="C2" s="1">
        <v>590.86</v>
      </c>
      <c r="D2" s="1">
        <v>562.04</v>
      </c>
      <c r="E2" s="1">
        <v>557.03</v>
      </c>
      <c r="F2" s="1">
        <v>546.65</v>
      </c>
      <c r="G2" s="1">
        <v>564.32000000000005</v>
      </c>
    </row>
    <row r="3" spans="1:7" x14ac:dyDescent="0.25">
      <c r="A3" s="1" t="s">
        <v>7</v>
      </c>
      <c r="B3" s="1">
        <v>44.88</v>
      </c>
      <c r="C3" s="1">
        <v>47.4</v>
      </c>
      <c r="D3" s="1">
        <v>44.42</v>
      </c>
      <c r="E3" s="1">
        <v>43.45</v>
      </c>
      <c r="F3" s="1">
        <v>47.56</v>
      </c>
      <c r="G3" s="1">
        <v>45.93</v>
      </c>
    </row>
    <row r="4" spans="1:7" x14ac:dyDescent="0.25">
      <c r="A4" s="1" t="s">
        <v>8</v>
      </c>
      <c r="B4" s="1">
        <v>26331.5</v>
      </c>
      <c r="C4" s="1">
        <v>28485.37</v>
      </c>
      <c r="D4" s="1">
        <v>25388.560000000001</v>
      </c>
      <c r="E4" s="1">
        <v>24614.55</v>
      </c>
      <c r="F4" s="1">
        <v>26425.91</v>
      </c>
      <c r="G4" s="1">
        <v>26357.07</v>
      </c>
    </row>
    <row r="5" spans="1:7" x14ac:dyDescent="0.25">
      <c r="A5" s="1" t="s">
        <v>9</v>
      </c>
      <c r="B5" s="1">
        <v>510.85</v>
      </c>
      <c r="C5" s="1">
        <v>569.45000000000005</v>
      </c>
      <c r="D5" s="1">
        <v>271.19</v>
      </c>
      <c r="E5" s="1">
        <v>1001.41</v>
      </c>
      <c r="F5" s="1">
        <v>913.62</v>
      </c>
      <c r="G5" s="1">
        <v>932.99</v>
      </c>
    </row>
    <row r="6" spans="1:7" x14ac:dyDescent="0.25">
      <c r="A6" s="3" t="s">
        <v>10</v>
      </c>
      <c r="B6" s="3">
        <v>51.09</v>
      </c>
      <c r="C6" s="3">
        <v>57.52</v>
      </c>
      <c r="D6" s="3">
        <v>27.39</v>
      </c>
      <c r="E6" s="3">
        <v>101.15</v>
      </c>
      <c r="F6" s="3">
        <v>92.29</v>
      </c>
      <c r="G6" s="3">
        <v>95.2</v>
      </c>
    </row>
    <row r="7" spans="1:7" x14ac:dyDescent="0.25">
      <c r="A7" s="1" t="s">
        <v>11</v>
      </c>
      <c r="B7" s="1">
        <v>502.51</v>
      </c>
      <c r="C7" s="1">
        <v>550.37</v>
      </c>
      <c r="D7" s="1">
        <v>263.52999999999997</v>
      </c>
      <c r="E7" s="1">
        <v>961.44</v>
      </c>
      <c r="F7" s="1">
        <v>869.54</v>
      </c>
      <c r="G7" s="1">
        <v>908.3</v>
      </c>
    </row>
    <row r="8" spans="1:7" x14ac:dyDescent="0.25">
      <c r="A8" s="1" t="s">
        <v>12</v>
      </c>
      <c r="B8" s="1">
        <v>50.25</v>
      </c>
      <c r="C8" s="1">
        <v>55.59</v>
      </c>
      <c r="D8" s="1">
        <v>26.62</v>
      </c>
      <c r="E8" s="1">
        <v>97.11</v>
      </c>
      <c r="F8" s="1">
        <v>87.83</v>
      </c>
      <c r="G8" s="1">
        <v>92.68</v>
      </c>
    </row>
    <row r="9" spans="1:7" x14ac:dyDescent="0.25">
      <c r="A9" s="1" t="s">
        <v>13</v>
      </c>
      <c r="B9" s="1">
        <v>501.25</v>
      </c>
      <c r="C9" s="1">
        <v>547.45000000000005</v>
      </c>
      <c r="D9" s="1">
        <v>-91.15</v>
      </c>
      <c r="E9" s="1">
        <v>960.72</v>
      </c>
      <c r="F9" s="1">
        <v>869.54</v>
      </c>
      <c r="G9" s="1">
        <v>908.3</v>
      </c>
    </row>
    <row r="10" spans="1:7" x14ac:dyDescent="0.25">
      <c r="A10" s="1" t="s">
        <v>14</v>
      </c>
      <c r="B10" s="1">
        <v>50.13</v>
      </c>
      <c r="C10" s="1">
        <v>55.3</v>
      </c>
      <c r="D10" s="1">
        <v>-9.2100000000000009</v>
      </c>
      <c r="E10" s="1">
        <v>97.04</v>
      </c>
      <c r="F10" s="1">
        <v>87.83</v>
      </c>
      <c r="G10" s="1">
        <v>92.68</v>
      </c>
    </row>
    <row r="11" spans="1:7" x14ac:dyDescent="0.25">
      <c r="A11" s="1" t="s">
        <v>15</v>
      </c>
      <c r="B11" s="1">
        <v>433.5</v>
      </c>
      <c r="C11" s="1">
        <v>461.62</v>
      </c>
      <c r="D11" s="1">
        <v>15.14</v>
      </c>
      <c r="E11" s="1">
        <v>795.03</v>
      </c>
      <c r="F11" s="1">
        <v>640.42999999999995</v>
      </c>
      <c r="G11" s="1">
        <v>741.06</v>
      </c>
    </row>
    <row r="12" spans="1:7" x14ac:dyDescent="0.25">
      <c r="A12" s="1" t="s">
        <v>16</v>
      </c>
      <c r="B12" s="1">
        <v>332.32</v>
      </c>
      <c r="C12" s="1">
        <v>301.60000000000002</v>
      </c>
      <c r="D12" s="1">
        <v>393.09</v>
      </c>
      <c r="E12" s="1">
        <v>314.91000000000003</v>
      </c>
      <c r="F12" s="1">
        <v>295.66000000000003</v>
      </c>
      <c r="G12" s="1">
        <v>289.89999999999998</v>
      </c>
    </row>
    <row r="13" spans="1:7" x14ac:dyDescent="0.25">
      <c r="A13" s="1" t="s">
        <v>17</v>
      </c>
      <c r="B13" s="1">
        <v>38.47</v>
      </c>
      <c r="C13" s="1">
        <v>50.44</v>
      </c>
      <c r="D13" s="1">
        <v>82.72</v>
      </c>
      <c r="E13" s="1">
        <v>43.09</v>
      </c>
      <c r="F13" s="1">
        <v>47.05</v>
      </c>
      <c r="G13" s="1">
        <v>43.58</v>
      </c>
    </row>
    <row r="14" spans="1:7" x14ac:dyDescent="0.25">
      <c r="A14" s="1" t="s">
        <v>18</v>
      </c>
      <c r="B14" s="1">
        <v>80.099999999999994</v>
      </c>
      <c r="C14" s="1">
        <v>101.46</v>
      </c>
      <c r="D14" s="1">
        <v>92.92</v>
      </c>
      <c r="E14" s="1">
        <v>91.78</v>
      </c>
      <c r="F14" s="1">
        <v>94.96</v>
      </c>
      <c r="G14" s="1">
        <v>75.36</v>
      </c>
    </row>
    <row r="15" spans="1:7" x14ac:dyDescent="0.25">
      <c r="A15" s="1" t="s">
        <v>19</v>
      </c>
      <c r="B15" s="1">
        <v>2</v>
      </c>
      <c r="C15" s="1">
        <v>3</v>
      </c>
      <c r="D15" s="1">
        <v>1</v>
      </c>
      <c r="E15" s="1">
        <v>5</v>
      </c>
      <c r="F15" s="1">
        <v>4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501.88</v>
      </c>
      <c r="C17" s="1">
        <v>548.91</v>
      </c>
      <c r="D17" s="1">
        <v>86.19</v>
      </c>
      <c r="E17" s="1">
        <v>961.08</v>
      </c>
      <c r="F17" s="1">
        <v>869.54</v>
      </c>
      <c r="G17" s="1">
        <v>908.3</v>
      </c>
    </row>
    <row r="18" spans="1:7" x14ac:dyDescent="0.25">
      <c r="A18" s="1" t="s">
        <v>22</v>
      </c>
      <c r="B18" s="1">
        <v>0.63</v>
      </c>
      <c r="C18" s="1">
        <v>1.46</v>
      </c>
      <c r="D18" s="1">
        <v>177.34</v>
      </c>
      <c r="E18" s="1">
        <v>0.36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4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5.6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4.4000000000000004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1.2</v>
      </c>
      <c r="C25" s="1">
        <v>1.4</v>
      </c>
      <c r="D25" s="1">
        <v>8.9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8.9</v>
      </c>
      <c r="C26" s="1">
        <v>8.6</v>
      </c>
      <c r="D26" s="1">
        <v>1.1000000000000001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11.881188118811881</v>
      </c>
      <c r="C30" s="3">
        <f t="shared" ref="C30:G30" si="2">C25/C28*100</f>
        <v>13.999999999999998</v>
      </c>
      <c r="D30" s="3">
        <f t="shared" si="2"/>
        <v>89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88.118811881188137</v>
      </c>
      <c r="C31" s="3">
        <f t="shared" ref="C31:G31" si="3">C26/C28*100</f>
        <v>86</v>
      </c>
      <c r="D31" s="3">
        <f t="shared" si="3"/>
        <v>11.000000000000002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50.29</v>
      </c>
      <c r="C33" s="3">
        <v>56.19</v>
      </c>
      <c r="D33" s="3">
        <v>0.3</v>
      </c>
      <c r="E33" s="3">
        <v>98.13</v>
      </c>
      <c r="F33" s="3">
        <v>92.05</v>
      </c>
      <c r="G33" s="3">
        <v>94.77</v>
      </c>
    </row>
    <row r="35" spans="1:7" x14ac:dyDescent="0.25">
      <c r="A35" s="3" t="s">
        <v>36</v>
      </c>
      <c r="B35" s="3"/>
      <c r="C35" s="3"/>
      <c r="D35" s="3">
        <f>D33-C33</f>
        <v>-55.89</v>
      </c>
      <c r="E35" s="3"/>
      <c r="F35" s="3">
        <f>F33-E33</f>
        <v>-6.0799999999999983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97.83</v>
      </c>
      <c r="F37" s="3"/>
      <c r="G37" s="3">
        <f>G33-F33</f>
        <v>2.7199999999999989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48ABE-8DB9-429E-9A7F-A4E714BEDA8B}">
  <dimension ref="A1:G37"/>
  <sheetViews>
    <sheetView topLeftCell="A10" workbookViewId="0">
      <selection activeCell="I20" sqref="I2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551.22</v>
      </c>
      <c r="C2" s="1">
        <v>557.14</v>
      </c>
      <c r="D2" s="1">
        <v>570.33000000000004</v>
      </c>
      <c r="E2" s="1">
        <v>545.38</v>
      </c>
      <c r="F2" s="1">
        <v>551.78</v>
      </c>
      <c r="G2" s="1">
        <v>565.15</v>
      </c>
    </row>
    <row r="3" spans="1:7" x14ac:dyDescent="0.25">
      <c r="A3" s="1" t="s">
        <v>7</v>
      </c>
      <c r="B3" s="1">
        <v>47.06</v>
      </c>
      <c r="C3" s="1">
        <v>47.69</v>
      </c>
      <c r="D3" s="1">
        <v>49.9</v>
      </c>
      <c r="E3" s="1">
        <v>48.94</v>
      </c>
      <c r="F3" s="1">
        <v>49.47</v>
      </c>
      <c r="G3" s="1">
        <v>49.94</v>
      </c>
    </row>
    <row r="4" spans="1:7" x14ac:dyDescent="0.25">
      <c r="A4" s="1" t="s">
        <v>8</v>
      </c>
      <c r="B4" s="1">
        <v>26382.71</v>
      </c>
      <c r="C4" s="1">
        <v>26999.61</v>
      </c>
      <c r="D4" s="1">
        <v>28952.49</v>
      </c>
      <c r="E4" s="1">
        <v>27143.8</v>
      </c>
      <c r="F4" s="1">
        <v>27771.16</v>
      </c>
      <c r="G4" s="1">
        <v>28710.93</v>
      </c>
    </row>
    <row r="5" spans="1:7" x14ac:dyDescent="0.25">
      <c r="A5" s="1" t="s">
        <v>9</v>
      </c>
      <c r="B5" s="1">
        <v>744.12</v>
      </c>
      <c r="C5" s="1">
        <v>500.75</v>
      </c>
      <c r="D5" s="1">
        <v>141.5</v>
      </c>
      <c r="E5" s="1">
        <v>136.18</v>
      </c>
      <c r="F5" s="1">
        <v>89.62</v>
      </c>
      <c r="G5" s="1">
        <v>64.58</v>
      </c>
    </row>
    <row r="6" spans="1:7" x14ac:dyDescent="0.25">
      <c r="A6" s="3" t="s">
        <v>10</v>
      </c>
      <c r="B6" s="3">
        <v>74.41</v>
      </c>
      <c r="C6" s="3">
        <v>50.58</v>
      </c>
      <c r="D6" s="3">
        <v>14.29</v>
      </c>
      <c r="E6" s="3">
        <v>13.76</v>
      </c>
      <c r="F6" s="3">
        <v>9.0500000000000007</v>
      </c>
      <c r="G6" s="3">
        <v>6.59</v>
      </c>
    </row>
    <row r="7" spans="1:7" x14ac:dyDescent="0.25">
      <c r="A7" s="1" t="s">
        <v>11</v>
      </c>
      <c r="B7" s="1">
        <v>723.83</v>
      </c>
      <c r="C7" s="1">
        <v>466.27</v>
      </c>
      <c r="D7" s="1">
        <v>137.13999999999999</v>
      </c>
      <c r="E7" s="1">
        <v>126.92</v>
      </c>
      <c r="F7" s="1">
        <v>80.92</v>
      </c>
      <c r="G7" s="1">
        <v>55.37</v>
      </c>
    </row>
    <row r="8" spans="1:7" x14ac:dyDescent="0.25">
      <c r="A8" s="1" t="s">
        <v>12</v>
      </c>
      <c r="B8" s="1">
        <v>72.38</v>
      </c>
      <c r="C8" s="1">
        <v>47.1</v>
      </c>
      <c r="D8" s="1">
        <v>13.85</v>
      </c>
      <c r="E8" s="1">
        <v>12.82</v>
      </c>
      <c r="F8" s="1">
        <v>8.17</v>
      </c>
      <c r="G8" s="1">
        <v>5.65</v>
      </c>
    </row>
    <row r="9" spans="1:7" x14ac:dyDescent="0.25">
      <c r="A9" s="1" t="s">
        <v>13</v>
      </c>
      <c r="B9" s="1">
        <v>723.83</v>
      </c>
      <c r="C9" s="1">
        <v>466.27</v>
      </c>
      <c r="D9" s="1">
        <v>20.03</v>
      </c>
      <c r="E9" s="1">
        <v>69.95</v>
      </c>
      <c r="F9" s="1">
        <v>37.25</v>
      </c>
      <c r="G9" s="1">
        <v>-8.68</v>
      </c>
    </row>
    <row r="10" spans="1:7" x14ac:dyDescent="0.25">
      <c r="A10" s="1" t="s">
        <v>14</v>
      </c>
      <c r="B10" s="1">
        <v>72.38</v>
      </c>
      <c r="C10" s="1">
        <v>47.1</v>
      </c>
      <c r="D10" s="1">
        <v>2.02</v>
      </c>
      <c r="E10" s="1">
        <v>7.07</v>
      </c>
      <c r="F10" s="1">
        <v>3.76</v>
      </c>
      <c r="G10" s="1">
        <v>-0.89</v>
      </c>
    </row>
    <row r="11" spans="1:7" x14ac:dyDescent="0.25">
      <c r="A11" s="1" t="s">
        <v>15</v>
      </c>
      <c r="B11" s="1">
        <v>628.91</v>
      </c>
      <c r="C11" s="1">
        <v>399.58</v>
      </c>
      <c r="D11" s="1">
        <v>6.01</v>
      </c>
      <c r="E11" s="1">
        <v>66.319999999999993</v>
      </c>
      <c r="F11" s="1">
        <v>27.48</v>
      </c>
      <c r="G11" s="1">
        <v>1.6</v>
      </c>
    </row>
    <row r="12" spans="1:7" x14ac:dyDescent="0.25">
      <c r="A12" s="1" t="s">
        <v>16</v>
      </c>
      <c r="B12" s="1">
        <v>292.86</v>
      </c>
      <c r="C12" s="1">
        <v>268.19</v>
      </c>
      <c r="D12" s="1">
        <v>249.34</v>
      </c>
      <c r="E12" s="1">
        <v>295.76</v>
      </c>
      <c r="F12" s="1">
        <v>223.99</v>
      </c>
      <c r="G12" s="1">
        <v>185.66</v>
      </c>
    </row>
    <row r="13" spans="1:7" x14ac:dyDescent="0.25">
      <c r="A13" s="1" t="s">
        <v>17</v>
      </c>
      <c r="B13" s="1">
        <v>25.58</v>
      </c>
      <c r="C13" s="1">
        <v>23.27</v>
      </c>
      <c r="D13" s="1">
        <v>9.76</v>
      </c>
      <c r="E13" s="1">
        <v>11.16</v>
      </c>
      <c r="F13" s="1">
        <v>20.45</v>
      </c>
      <c r="G13" s="1">
        <v>19.309999999999999</v>
      </c>
    </row>
    <row r="14" spans="1:7" x14ac:dyDescent="0.25">
      <c r="A14" s="1" t="s">
        <v>18</v>
      </c>
      <c r="B14" s="1">
        <v>49.66</v>
      </c>
      <c r="C14" s="1">
        <v>42.21</v>
      </c>
      <c r="D14" s="1">
        <v>15.78</v>
      </c>
      <c r="E14" s="1">
        <v>16.100000000000001</v>
      </c>
      <c r="F14" s="1">
        <v>26.25</v>
      </c>
      <c r="G14" s="1">
        <v>21.98</v>
      </c>
    </row>
    <row r="15" spans="1:7" x14ac:dyDescent="0.25">
      <c r="A15" s="1" t="s">
        <v>19</v>
      </c>
      <c r="B15" s="1">
        <v>2</v>
      </c>
      <c r="C15" s="1">
        <v>1</v>
      </c>
      <c r="D15" s="1">
        <v>0</v>
      </c>
      <c r="E15" s="1">
        <v>1</v>
      </c>
      <c r="F15" s="1">
        <v>0</v>
      </c>
      <c r="G15" s="1">
        <v>0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723.83</v>
      </c>
      <c r="C17" s="1">
        <v>466.27</v>
      </c>
      <c r="D17" s="1">
        <v>78.59</v>
      </c>
      <c r="E17" s="1">
        <v>98.44</v>
      </c>
      <c r="F17" s="1">
        <v>59.09</v>
      </c>
      <c r="G17" s="1">
        <v>23.34</v>
      </c>
    </row>
    <row r="18" spans="1:7" x14ac:dyDescent="0.25">
      <c r="A18" s="1" t="s">
        <v>22</v>
      </c>
      <c r="B18" s="1">
        <v>0</v>
      </c>
      <c r="C18" s="1">
        <v>0</v>
      </c>
      <c r="D18" s="1">
        <v>58.55</v>
      </c>
      <c r="E18" s="1">
        <v>28.48</v>
      </c>
      <c r="F18" s="1">
        <v>21.84</v>
      </c>
      <c r="G18" s="1">
        <v>32.020000000000003</v>
      </c>
    </row>
    <row r="19" spans="1:7" x14ac:dyDescent="0.25">
      <c r="A19" s="1" t="s">
        <v>23</v>
      </c>
      <c r="B19" s="1">
        <v>0</v>
      </c>
      <c r="C19" s="1">
        <v>0</v>
      </c>
      <c r="D19" s="1">
        <v>3</v>
      </c>
      <c r="E19" s="1">
        <v>0</v>
      </c>
      <c r="F19" s="1">
        <v>2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3.6</v>
      </c>
      <c r="E20" s="1">
        <v>0</v>
      </c>
      <c r="F20" s="1">
        <v>4.0999999999999996</v>
      </c>
      <c r="G20" s="1">
        <v>1.3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6.4</v>
      </c>
      <c r="E21" s="1">
        <v>10</v>
      </c>
      <c r="F21" s="1">
        <v>5.9</v>
      </c>
      <c r="G21" s="1">
        <v>8.6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10</v>
      </c>
      <c r="E25" s="1">
        <v>10</v>
      </c>
      <c r="F25" s="1">
        <v>10</v>
      </c>
      <c r="G25" s="1">
        <v>9.9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72.73</v>
      </c>
      <c r="C33" s="3">
        <v>50.37</v>
      </c>
      <c r="D33" s="3">
        <v>0.92</v>
      </c>
      <c r="E33" s="3">
        <v>7.42</v>
      </c>
      <c r="F33" s="3">
        <v>3.07</v>
      </c>
      <c r="G33" s="3">
        <v>0.05</v>
      </c>
    </row>
    <row r="35" spans="1:7" x14ac:dyDescent="0.25">
      <c r="A35" s="3" t="s">
        <v>36</v>
      </c>
      <c r="B35" s="3"/>
      <c r="C35" s="3"/>
      <c r="D35" s="3">
        <f>D33-C33</f>
        <v>-49.449999999999996</v>
      </c>
      <c r="E35" s="3"/>
      <c r="F35" s="3">
        <f>F33-E33</f>
        <v>-4.3499999999999996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6.5</v>
      </c>
      <c r="F37" s="3"/>
      <c r="G37" s="3">
        <f>G33-F33</f>
        <v>-3.02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2A7DA-B41E-46D1-A311-3B94346B35D3}">
  <dimension ref="A1:G37"/>
  <sheetViews>
    <sheetView topLeftCell="A10" workbookViewId="0">
      <selection activeCell="L32" sqref="L32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586.64</v>
      </c>
      <c r="C2" s="1">
        <v>600.27</v>
      </c>
      <c r="D2" s="1">
        <v>618.13</v>
      </c>
      <c r="E2" s="1">
        <v>594.46</v>
      </c>
      <c r="F2" s="1">
        <v>577.91</v>
      </c>
      <c r="G2" s="1">
        <v>610.55999999999995</v>
      </c>
    </row>
    <row r="3" spans="1:7" x14ac:dyDescent="0.25">
      <c r="A3" s="1" t="s">
        <v>7</v>
      </c>
      <c r="B3" s="1">
        <v>48.26</v>
      </c>
      <c r="C3" s="1">
        <v>56.57</v>
      </c>
      <c r="D3" s="1">
        <v>57.63</v>
      </c>
      <c r="E3" s="1">
        <v>56.9</v>
      </c>
      <c r="F3" s="1">
        <v>55.31</v>
      </c>
      <c r="G3" s="1">
        <v>55.82</v>
      </c>
    </row>
    <row r="4" spans="1:7" x14ac:dyDescent="0.25">
      <c r="A4" s="1" t="s">
        <v>8</v>
      </c>
      <c r="B4" s="1">
        <v>28800.44</v>
      </c>
      <c r="C4" s="1">
        <v>34538.19</v>
      </c>
      <c r="D4" s="1">
        <v>36229.96</v>
      </c>
      <c r="E4" s="1">
        <v>34400.18</v>
      </c>
      <c r="F4" s="1">
        <v>32486.560000000001</v>
      </c>
      <c r="G4" s="1">
        <v>34638.22</v>
      </c>
    </row>
    <row r="5" spans="1:7" x14ac:dyDescent="0.25">
      <c r="A5" s="1" t="s">
        <v>9</v>
      </c>
      <c r="B5" s="1">
        <v>1275.6300000000001</v>
      </c>
      <c r="C5" s="1">
        <v>1169.5</v>
      </c>
      <c r="D5" s="1">
        <v>424.3</v>
      </c>
      <c r="E5" s="1">
        <v>570.26</v>
      </c>
      <c r="F5" s="1">
        <v>1198.33</v>
      </c>
      <c r="G5" s="1">
        <v>1413.69</v>
      </c>
    </row>
    <row r="6" spans="1:7" x14ac:dyDescent="0.25">
      <c r="A6" s="3" t="s">
        <v>10</v>
      </c>
      <c r="B6" s="3">
        <v>127.56</v>
      </c>
      <c r="C6" s="3">
        <v>118.13</v>
      </c>
      <c r="D6" s="3">
        <v>42.86</v>
      </c>
      <c r="E6" s="3">
        <v>57.6</v>
      </c>
      <c r="F6" s="3">
        <v>121.04</v>
      </c>
      <c r="G6" s="3">
        <v>144.25</v>
      </c>
    </row>
    <row r="7" spans="1:7" x14ac:dyDescent="0.25">
      <c r="A7" s="1" t="s">
        <v>11</v>
      </c>
      <c r="B7" s="1">
        <v>1261.48</v>
      </c>
      <c r="C7" s="1">
        <v>1160</v>
      </c>
      <c r="D7" s="1">
        <v>413.54</v>
      </c>
      <c r="E7" s="1">
        <v>564.28</v>
      </c>
      <c r="F7" s="1">
        <v>1188.7</v>
      </c>
      <c r="G7" s="1">
        <v>1400.48</v>
      </c>
    </row>
    <row r="8" spans="1:7" x14ac:dyDescent="0.25">
      <c r="A8" s="1" t="s">
        <v>12</v>
      </c>
      <c r="B8" s="1">
        <v>126.15</v>
      </c>
      <c r="C8" s="1">
        <v>117.17</v>
      </c>
      <c r="D8" s="1">
        <v>41.77</v>
      </c>
      <c r="E8" s="1">
        <v>57</v>
      </c>
      <c r="F8" s="1">
        <v>120.07</v>
      </c>
      <c r="G8" s="1">
        <v>142.91</v>
      </c>
    </row>
    <row r="9" spans="1:7" x14ac:dyDescent="0.25">
      <c r="A9" s="1" t="s">
        <v>13</v>
      </c>
      <c r="B9" s="1">
        <v>1239.98</v>
      </c>
      <c r="C9" s="1">
        <v>1160</v>
      </c>
      <c r="D9" s="1">
        <v>399.2</v>
      </c>
      <c r="E9" s="1">
        <v>563.38</v>
      </c>
      <c r="F9" s="1">
        <v>1188.7</v>
      </c>
      <c r="G9" s="1">
        <v>1400.48</v>
      </c>
    </row>
    <row r="10" spans="1:7" x14ac:dyDescent="0.25">
      <c r="A10" s="1" t="s">
        <v>14</v>
      </c>
      <c r="B10" s="1">
        <v>124</v>
      </c>
      <c r="C10" s="1">
        <v>117.17</v>
      </c>
      <c r="D10" s="1">
        <v>40.32</v>
      </c>
      <c r="E10" s="1">
        <v>56.91</v>
      </c>
      <c r="F10" s="1">
        <v>120.07</v>
      </c>
      <c r="G10" s="1">
        <v>142.91</v>
      </c>
    </row>
    <row r="11" spans="1:7" x14ac:dyDescent="0.25">
      <c r="A11" s="1" t="s">
        <v>15</v>
      </c>
      <c r="B11" s="1">
        <v>861.84</v>
      </c>
      <c r="C11" s="1">
        <v>965.97</v>
      </c>
      <c r="D11" s="1">
        <v>375.91</v>
      </c>
      <c r="E11" s="1">
        <v>381.24</v>
      </c>
      <c r="F11" s="1">
        <v>646.03</v>
      </c>
      <c r="G11" s="1">
        <v>1198.03</v>
      </c>
    </row>
    <row r="12" spans="1:7" x14ac:dyDescent="0.25">
      <c r="A12" s="1" t="s">
        <v>16</v>
      </c>
      <c r="B12" s="1">
        <v>284.37</v>
      </c>
      <c r="C12" s="1">
        <v>309.18</v>
      </c>
      <c r="D12" s="1">
        <v>328.26</v>
      </c>
      <c r="E12" s="1">
        <v>282.20999999999998</v>
      </c>
      <c r="F12" s="1">
        <v>269.10000000000002</v>
      </c>
      <c r="G12" s="1">
        <v>323.95999999999998</v>
      </c>
    </row>
    <row r="13" spans="1:7" x14ac:dyDescent="0.25">
      <c r="A13" s="1" t="s">
        <v>17</v>
      </c>
      <c r="B13" s="1">
        <v>54.98</v>
      </c>
      <c r="C13" s="1">
        <v>32.15</v>
      </c>
      <c r="D13" s="1">
        <v>29.25</v>
      </c>
      <c r="E13" s="1">
        <v>69.430000000000007</v>
      </c>
      <c r="F13" s="1">
        <v>65.430000000000007</v>
      </c>
      <c r="G13" s="1">
        <v>32.49</v>
      </c>
    </row>
    <row r="14" spans="1:7" x14ac:dyDescent="0.25">
      <c r="A14" s="1" t="s">
        <v>18</v>
      </c>
      <c r="B14" s="1">
        <v>98.69</v>
      </c>
      <c r="C14" s="1">
        <v>68.099999999999994</v>
      </c>
      <c r="D14" s="1">
        <v>38.119999999999997</v>
      </c>
      <c r="E14" s="1">
        <v>115.17</v>
      </c>
      <c r="F14" s="1">
        <v>116.68</v>
      </c>
      <c r="G14" s="1">
        <v>80.77</v>
      </c>
    </row>
    <row r="15" spans="1:7" x14ac:dyDescent="0.25">
      <c r="A15" s="1" t="s">
        <v>19</v>
      </c>
      <c r="B15" s="1">
        <v>6</v>
      </c>
      <c r="C15" s="1">
        <v>3</v>
      </c>
      <c r="D15" s="1">
        <v>1</v>
      </c>
      <c r="E15" s="1">
        <v>3</v>
      </c>
      <c r="F15" s="1">
        <v>6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1250.73</v>
      </c>
      <c r="C17" s="1">
        <v>1160</v>
      </c>
      <c r="D17" s="1">
        <v>406.37</v>
      </c>
      <c r="E17" s="1">
        <v>563.83000000000004</v>
      </c>
      <c r="F17" s="1">
        <v>1188.7</v>
      </c>
      <c r="G17" s="1">
        <v>1400.48</v>
      </c>
    </row>
    <row r="18" spans="1:7" x14ac:dyDescent="0.25">
      <c r="A18" s="1" t="s">
        <v>22</v>
      </c>
      <c r="B18" s="1">
        <v>10.75</v>
      </c>
      <c r="C18" s="1">
        <v>0</v>
      </c>
      <c r="D18" s="1">
        <v>7.17</v>
      </c>
      <c r="E18" s="1">
        <v>0.45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3.8</v>
      </c>
      <c r="E25" s="1">
        <v>1.9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6.2</v>
      </c>
      <c r="E26" s="1">
        <v>8.1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38</v>
      </c>
      <c r="E30" s="3">
        <f t="shared" si="2"/>
        <v>19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62</v>
      </c>
      <c r="E31" s="3">
        <f t="shared" si="3"/>
        <v>81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123.66</v>
      </c>
      <c r="C33" s="3">
        <v>118.36</v>
      </c>
      <c r="D33" s="3">
        <v>41.3</v>
      </c>
      <c r="E33" s="3">
        <v>56.21</v>
      </c>
      <c r="F33" s="3">
        <v>118.95</v>
      </c>
      <c r="G33" s="3">
        <v>144.52000000000001</v>
      </c>
    </row>
    <row r="35" spans="1:7" x14ac:dyDescent="0.25">
      <c r="A35" s="3" t="s">
        <v>36</v>
      </c>
      <c r="B35" s="3"/>
      <c r="C35" s="3"/>
      <c r="D35" s="3">
        <f>D33-C33</f>
        <v>-77.06</v>
      </c>
      <c r="E35" s="3"/>
      <c r="F35" s="3">
        <f>F33-E33</f>
        <v>62.74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14.910000000000004</v>
      </c>
      <c r="F37" s="3"/>
      <c r="G37" s="3">
        <f>G33-F33</f>
        <v>25.570000000000007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201AA-82AC-438D-99F6-78CB96E49948}">
  <dimension ref="A1:G37"/>
  <sheetViews>
    <sheetView topLeftCell="A7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527.24</v>
      </c>
      <c r="C2" s="1">
        <v>493.83</v>
      </c>
      <c r="D2" s="1">
        <v>544.89</v>
      </c>
      <c r="E2" s="1">
        <v>498.76</v>
      </c>
      <c r="F2" s="1">
        <v>492.33</v>
      </c>
      <c r="G2" s="1">
        <v>485.66</v>
      </c>
    </row>
    <row r="3" spans="1:7" x14ac:dyDescent="0.25">
      <c r="A3" s="1" t="s">
        <v>7</v>
      </c>
      <c r="B3" s="1">
        <v>39.61</v>
      </c>
      <c r="C3" s="1">
        <v>37.880000000000003</v>
      </c>
      <c r="D3" s="1">
        <v>41.54</v>
      </c>
      <c r="E3" s="1">
        <v>39.96</v>
      </c>
      <c r="F3" s="1">
        <v>39.33</v>
      </c>
      <c r="G3" s="1">
        <v>37.130000000000003</v>
      </c>
    </row>
    <row r="4" spans="1:7" x14ac:dyDescent="0.25">
      <c r="A4" s="1" t="s">
        <v>8</v>
      </c>
      <c r="B4" s="1">
        <v>21234.85</v>
      </c>
      <c r="C4" s="1">
        <v>19025.41</v>
      </c>
      <c r="D4" s="1">
        <v>22999.79</v>
      </c>
      <c r="E4" s="1">
        <v>20224.669999999998</v>
      </c>
      <c r="F4" s="1">
        <v>19645.740000000002</v>
      </c>
      <c r="G4" s="1">
        <v>18287.080000000002</v>
      </c>
    </row>
    <row r="5" spans="1:7" x14ac:dyDescent="0.25">
      <c r="A5" s="1" t="s">
        <v>9</v>
      </c>
      <c r="B5" s="1">
        <v>1539.33</v>
      </c>
      <c r="C5" s="1">
        <v>1012.72</v>
      </c>
      <c r="D5" s="1">
        <v>751.17</v>
      </c>
      <c r="E5" s="1">
        <v>1546.92</v>
      </c>
      <c r="F5" s="1">
        <v>1400.4</v>
      </c>
      <c r="G5" s="1">
        <v>1102.43</v>
      </c>
    </row>
    <row r="6" spans="1:7" x14ac:dyDescent="0.25">
      <c r="A6" s="3" t="s">
        <v>10</v>
      </c>
      <c r="B6" s="3">
        <v>153.93</v>
      </c>
      <c r="C6" s="3">
        <v>102.29</v>
      </c>
      <c r="D6" s="3">
        <v>75.88</v>
      </c>
      <c r="E6" s="3">
        <v>156.25</v>
      </c>
      <c r="F6" s="3">
        <v>141.44999999999999</v>
      </c>
      <c r="G6" s="3">
        <v>112.49</v>
      </c>
    </row>
    <row r="7" spans="1:7" x14ac:dyDescent="0.25">
      <c r="A7" s="1" t="s">
        <v>11</v>
      </c>
      <c r="B7" s="1">
        <v>1475.86</v>
      </c>
      <c r="C7" s="1">
        <v>962.02</v>
      </c>
      <c r="D7" s="1">
        <v>728.45</v>
      </c>
      <c r="E7" s="1">
        <v>1473.02</v>
      </c>
      <c r="F7" s="1">
        <v>1334.15</v>
      </c>
      <c r="G7" s="1">
        <v>1052.3</v>
      </c>
    </row>
    <row r="8" spans="1:7" x14ac:dyDescent="0.25">
      <c r="A8" s="1" t="s">
        <v>12</v>
      </c>
      <c r="B8" s="1">
        <v>147.59</v>
      </c>
      <c r="C8" s="1">
        <v>97.17</v>
      </c>
      <c r="D8" s="1">
        <v>73.58</v>
      </c>
      <c r="E8" s="1">
        <v>148.79</v>
      </c>
      <c r="F8" s="1">
        <v>134.76</v>
      </c>
      <c r="G8" s="1">
        <v>107.38</v>
      </c>
    </row>
    <row r="9" spans="1:7" x14ac:dyDescent="0.25">
      <c r="A9" s="1" t="s">
        <v>13</v>
      </c>
      <c r="B9" s="1">
        <v>1475.86</v>
      </c>
      <c r="C9" s="1">
        <v>962.02</v>
      </c>
      <c r="D9" s="1">
        <v>633.66999999999996</v>
      </c>
      <c r="E9" s="1">
        <v>1473.02</v>
      </c>
      <c r="F9" s="1">
        <v>1334.15</v>
      </c>
      <c r="G9" s="1">
        <v>1046.53</v>
      </c>
    </row>
    <row r="10" spans="1:7" x14ac:dyDescent="0.25">
      <c r="A10" s="1" t="s">
        <v>14</v>
      </c>
      <c r="B10" s="1">
        <v>147.59</v>
      </c>
      <c r="C10" s="1">
        <v>97.17</v>
      </c>
      <c r="D10" s="1">
        <v>64.010000000000005</v>
      </c>
      <c r="E10" s="1">
        <v>148.79</v>
      </c>
      <c r="F10" s="1">
        <v>134.76</v>
      </c>
      <c r="G10" s="1">
        <v>106.79</v>
      </c>
    </row>
    <row r="11" spans="1:7" x14ac:dyDescent="0.25">
      <c r="A11" s="1" t="s">
        <v>15</v>
      </c>
      <c r="B11" s="1">
        <v>1186.24</v>
      </c>
      <c r="C11" s="1">
        <v>865.63</v>
      </c>
      <c r="D11" s="1">
        <v>562.79999999999995</v>
      </c>
      <c r="E11" s="1">
        <v>1041.9000000000001</v>
      </c>
      <c r="F11" s="1">
        <v>1043.49</v>
      </c>
      <c r="G11" s="1">
        <v>902.58</v>
      </c>
    </row>
    <row r="12" spans="1:7" x14ac:dyDescent="0.25">
      <c r="A12" s="1" t="s">
        <v>16</v>
      </c>
      <c r="B12" s="1">
        <v>300.75</v>
      </c>
      <c r="C12" s="1">
        <v>313.37</v>
      </c>
      <c r="D12" s="1">
        <v>305.38</v>
      </c>
      <c r="E12" s="1">
        <v>281.99</v>
      </c>
      <c r="F12" s="1">
        <v>284.24</v>
      </c>
      <c r="G12" s="1">
        <v>281.39</v>
      </c>
    </row>
    <row r="13" spans="1:7" x14ac:dyDescent="0.25">
      <c r="A13" s="1" t="s">
        <v>17</v>
      </c>
      <c r="B13" s="1">
        <v>43.37</v>
      </c>
      <c r="C13" s="1">
        <v>29.45</v>
      </c>
      <c r="D13" s="1">
        <v>42.16</v>
      </c>
      <c r="E13" s="1">
        <v>44.99</v>
      </c>
      <c r="F13" s="1">
        <v>38.42</v>
      </c>
      <c r="G13" s="1">
        <v>27.39</v>
      </c>
    </row>
    <row r="14" spans="1:7" x14ac:dyDescent="0.25">
      <c r="A14" s="1" t="s">
        <v>18</v>
      </c>
      <c r="B14" s="1">
        <v>86.1</v>
      </c>
      <c r="C14" s="1">
        <v>62.17</v>
      </c>
      <c r="D14" s="1">
        <v>61.18</v>
      </c>
      <c r="E14" s="1">
        <v>99.19</v>
      </c>
      <c r="F14" s="1">
        <v>89.83</v>
      </c>
      <c r="G14" s="1">
        <v>60.6</v>
      </c>
    </row>
    <row r="15" spans="1:7" x14ac:dyDescent="0.25">
      <c r="A15" s="1" t="s">
        <v>19</v>
      </c>
      <c r="B15" s="1">
        <v>7</v>
      </c>
      <c r="C15" s="1">
        <v>6</v>
      </c>
      <c r="D15" s="1">
        <v>3</v>
      </c>
      <c r="E15" s="1">
        <v>6</v>
      </c>
      <c r="F15" s="1">
        <v>6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1475.86</v>
      </c>
      <c r="C17" s="1">
        <v>962.02</v>
      </c>
      <c r="D17" s="1">
        <v>681.06</v>
      </c>
      <c r="E17" s="1">
        <v>1473.02</v>
      </c>
      <c r="F17" s="1">
        <v>1334.15</v>
      </c>
      <c r="G17" s="1">
        <v>1049.4100000000001</v>
      </c>
    </row>
    <row r="18" spans="1:7" x14ac:dyDescent="0.25">
      <c r="A18" s="1" t="s">
        <v>22</v>
      </c>
      <c r="B18" s="1">
        <v>0</v>
      </c>
      <c r="C18" s="1">
        <v>0</v>
      </c>
      <c r="D18" s="1">
        <v>47.39</v>
      </c>
      <c r="E18" s="1">
        <v>0</v>
      </c>
      <c r="F18" s="1">
        <v>0</v>
      </c>
      <c r="G18" s="1">
        <v>2.89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4.4000000000000004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5.6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44.000000000000007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55.999999999999993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151.41999999999999</v>
      </c>
      <c r="C33" s="3">
        <v>101.07</v>
      </c>
      <c r="D33" s="3">
        <v>64.7</v>
      </c>
      <c r="E33" s="3">
        <v>155.22999999999999</v>
      </c>
      <c r="F33" s="3">
        <v>141.1</v>
      </c>
      <c r="G33" s="3">
        <v>112.11</v>
      </c>
    </row>
    <row r="35" spans="1:7" x14ac:dyDescent="0.25">
      <c r="A35" s="3" t="s">
        <v>36</v>
      </c>
      <c r="B35" s="3"/>
      <c r="C35" s="3"/>
      <c r="D35" s="3">
        <f>D33-C33</f>
        <v>-36.36999999999999</v>
      </c>
      <c r="E35" s="3"/>
      <c r="F35" s="3">
        <f>F33-E33</f>
        <v>-14.129999999999995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90.529999999999987</v>
      </c>
      <c r="F37" s="3"/>
      <c r="G37" s="3">
        <f>G33-F33</f>
        <v>-28.989999999999995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EA449-2A2A-4BB1-B29D-CFA3621F67D7}">
  <dimension ref="A1:G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519.75</v>
      </c>
      <c r="C2" s="1">
        <v>494.81</v>
      </c>
      <c r="D2" s="1">
        <v>494.71</v>
      </c>
      <c r="E2" s="1">
        <v>494.58</v>
      </c>
      <c r="F2" s="1">
        <v>489.35</v>
      </c>
      <c r="G2" s="1">
        <v>480.87</v>
      </c>
    </row>
    <row r="3" spans="1:7" x14ac:dyDescent="0.25">
      <c r="A3" s="1" t="s">
        <v>7</v>
      </c>
      <c r="B3" s="1">
        <v>38.090000000000003</v>
      </c>
      <c r="C3" s="1">
        <v>36.96</v>
      </c>
      <c r="D3" s="1">
        <v>36.950000000000003</v>
      </c>
      <c r="E3" s="1">
        <v>36.94</v>
      </c>
      <c r="F3" s="1">
        <v>37.08</v>
      </c>
      <c r="G3" s="1">
        <v>37.630000000000003</v>
      </c>
    </row>
    <row r="4" spans="1:7" x14ac:dyDescent="0.25">
      <c r="A4" s="1" t="s">
        <v>8</v>
      </c>
      <c r="B4" s="1">
        <v>20105.310000000001</v>
      </c>
      <c r="C4" s="1">
        <v>18538.29</v>
      </c>
      <c r="D4" s="1">
        <v>18541.009999999998</v>
      </c>
      <c r="E4" s="1">
        <v>18533.490000000002</v>
      </c>
      <c r="F4" s="1">
        <v>18398.91</v>
      </c>
      <c r="G4" s="1">
        <v>18367.68</v>
      </c>
    </row>
    <row r="5" spans="1:7" x14ac:dyDescent="0.25">
      <c r="A5" s="1" t="s">
        <v>9</v>
      </c>
      <c r="B5" s="1">
        <v>732.48</v>
      </c>
      <c r="C5" s="1">
        <v>427.17</v>
      </c>
      <c r="D5" s="1">
        <v>378.06</v>
      </c>
      <c r="E5" s="1">
        <v>405.92</v>
      </c>
      <c r="F5" s="1">
        <v>430.76</v>
      </c>
      <c r="G5" s="1">
        <v>362.67</v>
      </c>
    </row>
    <row r="6" spans="1:7" x14ac:dyDescent="0.25">
      <c r="A6" s="3" t="s">
        <v>10</v>
      </c>
      <c r="B6" s="3">
        <v>73.25</v>
      </c>
      <c r="C6" s="3">
        <v>43.15</v>
      </c>
      <c r="D6" s="3">
        <v>38.19</v>
      </c>
      <c r="E6" s="3">
        <v>41</v>
      </c>
      <c r="F6" s="3">
        <v>43.51</v>
      </c>
      <c r="G6" s="3">
        <v>37.01</v>
      </c>
    </row>
    <row r="7" spans="1:7" x14ac:dyDescent="0.25">
      <c r="A7" s="1" t="s">
        <v>11</v>
      </c>
      <c r="B7" s="1">
        <v>706.19</v>
      </c>
      <c r="C7" s="1">
        <v>399.04</v>
      </c>
      <c r="D7" s="1">
        <v>356.53</v>
      </c>
      <c r="E7" s="1">
        <v>386.92</v>
      </c>
      <c r="F7" s="1">
        <v>405.92</v>
      </c>
      <c r="G7" s="1">
        <v>344.32</v>
      </c>
    </row>
    <row r="8" spans="1:7" x14ac:dyDescent="0.25">
      <c r="A8" s="1" t="s">
        <v>12</v>
      </c>
      <c r="B8" s="1">
        <v>70.62</v>
      </c>
      <c r="C8" s="1">
        <v>40.31</v>
      </c>
      <c r="D8" s="1">
        <v>36.01</v>
      </c>
      <c r="E8" s="1">
        <v>39.08</v>
      </c>
      <c r="F8" s="1">
        <v>41</v>
      </c>
      <c r="G8" s="1">
        <v>35.130000000000003</v>
      </c>
    </row>
    <row r="9" spans="1:7" x14ac:dyDescent="0.25">
      <c r="A9" s="1" t="s">
        <v>13</v>
      </c>
      <c r="B9" s="1">
        <v>694.32</v>
      </c>
      <c r="C9" s="1">
        <v>28.78</v>
      </c>
      <c r="D9" s="1">
        <v>34.369999999999997</v>
      </c>
      <c r="E9" s="1">
        <v>38.64</v>
      </c>
      <c r="F9" s="1">
        <v>33.090000000000003</v>
      </c>
      <c r="G9" s="1">
        <v>-26.99</v>
      </c>
    </row>
    <row r="10" spans="1:7" x14ac:dyDescent="0.25">
      <c r="A10" s="1" t="s">
        <v>14</v>
      </c>
      <c r="B10" s="1">
        <v>69.430000000000007</v>
      </c>
      <c r="C10" s="1">
        <v>2.91</v>
      </c>
      <c r="D10" s="1">
        <v>3.47</v>
      </c>
      <c r="E10" s="1">
        <v>3.9</v>
      </c>
      <c r="F10" s="1">
        <v>3.34</v>
      </c>
      <c r="G10" s="1">
        <v>-2.75</v>
      </c>
    </row>
    <row r="11" spans="1:7" x14ac:dyDescent="0.25">
      <c r="A11" s="1" t="s">
        <v>15</v>
      </c>
      <c r="B11" s="1">
        <v>601.20000000000005</v>
      </c>
      <c r="C11" s="1">
        <v>2.97</v>
      </c>
      <c r="D11" s="1">
        <v>17.53</v>
      </c>
      <c r="E11" s="1">
        <v>23.48</v>
      </c>
      <c r="F11" s="1">
        <v>7.45</v>
      </c>
      <c r="G11" s="1">
        <v>15.42</v>
      </c>
    </row>
    <row r="12" spans="1:7" x14ac:dyDescent="0.25">
      <c r="A12" s="1" t="s">
        <v>16</v>
      </c>
      <c r="B12" s="1">
        <v>302.2</v>
      </c>
      <c r="C12" s="1">
        <v>341.07</v>
      </c>
      <c r="D12" s="1">
        <v>340.61</v>
      </c>
      <c r="E12" s="1">
        <v>339.85</v>
      </c>
      <c r="F12" s="1">
        <v>333.69</v>
      </c>
      <c r="G12" s="1">
        <v>341.11</v>
      </c>
    </row>
    <row r="13" spans="1:7" x14ac:dyDescent="0.25">
      <c r="A13" s="1" t="s">
        <v>17</v>
      </c>
      <c r="B13" s="1">
        <v>31.52</v>
      </c>
      <c r="C13" s="1">
        <v>53.06</v>
      </c>
      <c r="D13" s="1">
        <v>54.2</v>
      </c>
      <c r="E13" s="1">
        <v>54.33</v>
      </c>
      <c r="F13" s="1">
        <v>54.99</v>
      </c>
      <c r="G13" s="1">
        <v>56.69</v>
      </c>
    </row>
    <row r="14" spans="1:7" x14ac:dyDescent="0.25">
      <c r="A14" s="1" t="s">
        <v>18</v>
      </c>
      <c r="B14" s="1">
        <v>63.07</v>
      </c>
      <c r="C14" s="1">
        <v>61.88</v>
      </c>
      <c r="D14" s="1">
        <v>61.53</v>
      </c>
      <c r="E14" s="1">
        <v>62.13</v>
      </c>
      <c r="F14" s="1">
        <v>61.69</v>
      </c>
      <c r="G14" s="1">
        <v>61.55</v>
      </c>
    </row>
    <row r="15" spans="1:7" x14ac:dyDescent="0.25">
      <c r="A15" s="1" t="s">
        <v>19</v>
      </c>
      <c r="B15" s="1">
        <v>5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700.26</v>
      </c>
      <c r="C17" s="1">
        <v>213.91</v>
      </c>
      <c r="D17" s="1">
        <v>195.45</v>
      </c>
      <c r="E17" s="1">
        <v>212.78</v>
      </c>
      <c r="F17" s="1">
        <v>219.5</v>
      </c>
      <c r="G17" s="1">
        <v>158.66</v>
      </c>
    </row>
    <row r="18" spans="1:7" x14ac:dyDescent="0.25">
      <c r="A18" s="1" t="s">
        <v>22</v>
      </c>
      <c r="B18" s="1">
        <v>5.94</v>
      </c>
      <c r="C18" s="1">
        <v>185.13</v>
      </c>
      <c r="D18" s="1">
        <v>161.08000000000001</v>
      </c>
      <c r="E18" s="1">
        <v>174.14</v>
      </c>
      <c r="F18" s="1">
        <v>186.41</v>
      </c>
      <c r="G18" s="1">
        <v>185.65</v>
      </c>
    </row>
    <row r="19" spans="1:7" x14ac:dyDescent="0.25">
      <c r="A19" s="1" t="s">
        <v>23</v>
      </c>
      <c r="B19" s="1">
        <v>0</v>
      </c>
      <c r="C19" s="1">
        <v>2</v>
      </c>
      <c r="D19" s="1">
        <v>3</v>
      </c>
      <c r="E19" s="1">
        <v>1</v>
      </c>
      <c r="F19" s="1">
        <v>1</v>
      </c>
      <c r="G19" s="1">
        <v>2</v>
      </c>
    </row>
    <row r="20" spans="1:7" x14ac:dyDescent="0.25">
      <c r="A20" s="1" t="s">
        <v>24</v>
      </c>
      <c r="B20" s="1">
        <v>0</v>
      </c>
      <c r="C20" s="1">
        <v>2.1</v>
      </c>
      <c r="D20" s="1">
        <v>3.1</v>
      </c>
      <c r="E20" s="1">
        <v>1</v>
      </c>
      <c r="F20" s="1">
        <v>1.4</v>
      </c>
      <c r="G20" s="1">
        <v>2.7</v>
      </c>
    </row>
    <row r="21" spans="1:7" x14ac:dyDescent="0.25">
      <c r="A21" s="1" t="s">
        <v>25</v>
      </c>
      <c r="B21" s="1">
        <v>10.1</v>
      </c>
      <c r="C21" s="1">
        <v>7.9</v>
      </c>
      <c r="D21" s="1">
        <v>6.9</v>
      </c>
      <c r="E21" s="1">
        <v>9</v>
      </c>
      <c r="F21" s="1">
        <v>8.6</v>
      </c>
      <c r="G21" s="1">
        <v>7.2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10</v>
      </c>
      <c r="D25" s="1">
        <v>10</v>
      </c>
      <c r="E25" s="1">
        <v>10</v>
      </c>
      <c r="F25" s="1">
        <v>10</v>
      </c>
      <c r="G25" s="1">
        <v>9.9</v>
      </c>
    </row>
    <row r="26" spans="1:7" x14ac:dyDescent="0.25">
      <c r="A26" s="1" t="s">
        <v>30</v>
      </c>
      <c r="B26" s="1">
        <v>10.1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70.89</v>
      </c>
      <c r="C33" s="3">
        <v>-0.01</v>
      </c>
      <c r="D33" s="3">
        <v>0.18</v>
      </c>
      <c r="E33" s="3">
        <v>0.71</v>
      </c>
      <c r="F33" s="3">
        <v>-0.15</v>
      </c>
      <c r="G33" s="3">
        <v>-1.24</v>
      </c>
    </row>
    <row r="35" spans="1:7" x14ac:dyDescent="0.25">
      <c r="A35" s="3" t="s">
        <v>36</v>
      </c>
      <c r="B35" s="3"/>
      <c r="C35" s="3"/>
      <c r="D35" s="3">
        <f>D33-C33</f>
        <v>0.19</v>
      </c>
      <c r="E35" s="3"/>
      <c r="F35" s="3">
        <f>F33-E33</f>
        <v>-0.86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0.53</v>
      </c>
      <c r="F37" s="3"/>
      <c r="G37" s="3">
        <f>G33-F33</f>
        <v>-1.0900000000000001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F1BD4-279A-4872-9D48-2FD197742633}">
  <dimension ref="A1:G37"/>
  <sheetViews>
    <sheetView tabSelected="1" topLeftCell="A10" workbookViewId="0">
      <selection activeCell="L29" sqref="L2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571.99</v>
      </c>
      <c r="C2" s="1">
        <v>567.54</v>
      </c>
      <c r="D2" s="1">
        <v>566.08000000000004</v>
      </c>
      <c r="E2" s="1">
        <v>563.09</v>
      </c>
      <c r="F2" s="1">
        <v>563.62</v>
      </c>
      <c r="G2" s="1">
        <v>568.16</v>
      </c>
    </row>
    <row r="3" spans="1:7" x14ac:dyDescent="0.25">
      <c r="A3" s="1" t="s">
        <v>7</v>
      </c>
      <c r="B3" s="1">
        <v>42.85</v>
      </c>
      <c r="C3" s="1">
        <v>44.68</v>
      </c>
      <c r="D3" s="1">
        <v>44.6</v>
      </c>
      <c r="E3" s="1">
        <v>44.31</v>
      </c>
      <c r="F3" s="1">
        <v>44.13</v>
      </c>
      <c r="G3" s="1">
        <v>43.98</v>
      </c>
    </row>
    <row r="4" spans="1:7" x14ac:dyDescent="0.25">
      <c r="A4" s="1" t="s">
        <v>8</v>
      </c>
      <c r="B4" s="1">
        <v>24865.84</v>
      </c>
      <c r="C4" s="1">
        <v>25792.65</v>
      </c>
      <c r="D4" s="1">
        <v>25679.56</v>
      </c>
      <c r="E4" s="1">
        <v>25373.97</v>
      </c>
      <c r="F4" s="1">
        <v>25300.41</v>
      </c>
      <c r="G4" s="1">
        <v>25414.46</v>
      </c>
    </row>
    <row r="5" spans="1:7" x14ac:dyDescent="0.25">
      <c r="A5" s="1" t="s">
        <v>9</v>
      </c>
      <c r="B5" s="1">
        <v>300.08</v>
      </c>
      <c r="C5" s="1">
        <v>107.54</v>
      </c>
      <c r="D5" s="1">
        <v>130.37</v>
      </c>
      <c r="E5" s="1">
        <v>103</v>
      </c>
      <c r="F5" s="1">
        <v>127.55</v>
      </c>
      <c r="G5" s="1">
        <v>123.16</v>
      </c>
    </row>
    <row r="6" spans="1:7" x14ac:dyDescent="0.25">
      <c r="A6" s="3" t="s">
        <v>10</v>
      </c>
      <c r="B6" s="3">
        <v>30.01</v>
      </c>
      <c r="C6" s="3">
        <v>10.86</v>
      </c>
      <c r="D6" s="3">
        <v>13.17</v>
      </c>
      <c r="E6" s="3">
        <v>10.4</v>
      </c>
      <c r="F6" s="3">
        <v>12.88</v>
      </c>
      <c r="G6" s="3">
        <v>12.57</v>
      </c>
    </row>
    <row r="7" spans="1:7" x14ac:dyDescent="0.25">
      <c r="A7" s="1" t="s">
        <v>11</v>
      </c>
      <c r="B7" s="1">
        <v>293.74</v>
      </c>
      <c r="C7" s="1">
        <v>99</v>
      </c>
      <c r="D7" s="1">
        <v>123.26</v>
      </c>
      <c r="E7" s="1">
        <v>94.03</v>
      </c>
      <c r="F7" s="1">
        <v>119.45</v>
      </c>
      <c r="G7" s="1">
        <v>116.76</v>
      </c>
    </row>
    <row r="8" spans="1:7" x14ac:dyDescent="0.25">
      <c r="A8" s="1" t="s">
        <v>12</v>
      </c>
      <c r="B8" s="1">
        <v>29.37</v>
      </c>
      <c r="C8" s="1">
        <v>10</v>
      </c>
      <c r="D8" s="1">
        <v>12.45</v>
      </c>
      <c r="E8" s="1">
        <v>9.5</v>
      </c>
      <c r="F8" s="1">
        <v>12.07</v>
      </c>
      <c r="G8" s="1">
        <v>11.91</v>
      </c>
    </row>
    <row r="9" spans="1:7" x14ac:dyDescent="0.25">
      <c r="A9" s="1" t="s">
        <v>13</v>
      </c>
      <c r="B9" s="1">
        <v>283.25</v>
      </c>
      <c r="C9" s="1">
        <v>-11.13</v>
      </c>
      <c r="D9" s="1">
        <v>-15.38</v>
      </c>
      <c r="E9" s="1">
        <v>14.26</v>
      </c>
      <c r="F9" s="1">
        <v>-13.4</v>
      </c>
      <c r="G9" s="1">
        <v>-13.43</v>
      </c>
    </row>
    <row r="10" spans="1:7" x14ac:dyDescent="0.25">
      <c r="A10" s="1" t="s">
        <v>14</v>
      </c>
      <c r="B10" s="1">
        <v>28.32</v>
      </c>
      <c r="C10" s="1">
        <v>-1.1200000000000001</v>
      </c>
      <c r="D10" s="1">
        <v>-1.55</v>
      </c>
      <c r="E10" s="1">
        <v>1.44</v>
      </c>
      <c r="F10" s="1">
        <v>-1.35</v>
      </c>
      <c r="G10" s="1">
        <v>-1.37</v>
      </c>
    </row>
    <row r="11" spans="1:7" x14ac:dyDescent="0.25">
      <c r="A11" s="1" t="s">
        <v>15</v>
      </c>
      <c r="B11" s="1">
        <v>257.93</v>
      </c>
      <c r="C11" s="1">
        <v>3.68</v>
      </c>
      <c r="D11" s="1">
        <v>2.63</v>
      </c>
      <c r="E11" s="1">
        <v>6.58</v>
      </c>
      <c r="F11" s="1">
        <v>12.99</v>
      </c>
      <c r="G11" s="1">
        <v>4.18</v>
      </c>
    </row>
    <row r="12" spans="1:7" x14ac:dyDescent="0.25">
      <c r="A12" s="1" t="s">
        <v>16</v>
      </c>
      <c r="B12" s="1">
        <v>329.74</v>
      </c>
      <c r="C12" s="1">
        <v>307.83</v>
      </c>
      <c r="D12" s="1">
        <v>311.83999999999997</v>
      </c>
      <c r="E12" s="1">
        <v>295.54000000000002</v>
      </c>
      <c r="F12" s="1">
        <v>302.47000000000003</v>
      </c>
      <c r="G12" s="1">
        <v>307.19</v>
      </c>
    </row>
    <row r="13" spans="1:7" x14ac:dyDescent="0.25">
      <c r="A13" s="1" t="s">
        <v>17</v>
      </c>
      <c r="B13" s="1">
        <v>23.33</v>
      </c>
      <c r="C13" s="1">
        <v>35.28</v>
      </c>
      <c r="D13" s="1">
        <v>35.65</v>
      </c>
      <c r="E13" s="1">
        <v>37.19</v>
      </c>
      <c r="F13" s="1">
        <v>36.33</v>
      </c>
      <c r="G13" s="1">
        <v>36.43</v>
      </c>
    </row>
    <row r="14" spans="1:7" x14ac:dyDescent="0.25">
      <c r="A14" s="1" t="s">
        <v>18</v>
      </c>
      <c r="B14" s="1">
        <v>51.29</v>
      </c>
      <c r="C14" s="1">
        <v>39.58</v>
      </c>
      <c r="D14" s="1">
        <v>41.16</v>
      </c>
      <c r="E14" s="1">
        <v>42.23</v>
      </c>
      <c r="F14" s="1">
        <v>42.55</v>
      </c>
      <c r="G14" s="1">
        <v>41.94</v>
      </c>
    </row>
    <row r="15" spans="1:7" x14ac:dyDescent="0.25">
      <c r="A15" s="1" t="s">
        <v>19</v>
      </c>
      <c r="B15" s="1">
        <v>1</v>
      </c>
      <c r="C15" s="1">
        <v>0</v>
      </c>
      <c r="D15" s="1">
        <v>0</v>
      </c>
      <c r="E15" s="1">
        <v>1</v>
      </c>
      <c r="F15" s="1">
        <v>1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288.49</v>
      </c>
      <c r="C17" s="1">
        <v>43.93</v>
      </c>
      <c r="D17" s="1">
        <v>53.94</v>
      </c>
      <c r="E17" s="1">
        <v>54.15</v>
      </c>
      <c r="F17" s="1">
        <v>53.02</v>
      </c>
      <c r="G17" s="1">
        <v>51.67</v>
      </c>
    </row>
    <row r="18" spans="1:7" x14ac:dyDescent="0.25">
      <c r="A18" s="1" t="s">
        <v>22</v>
      </c>
      <c r="B18" s="1">
        <v>5.24</v>
      </c>
      <c r="C18" s="1">
        <v>55.06</v>
      </c>
      <c r="D18" s="1">
        <v>69.319999999999993</v>
      </c>
      <c r="E18" s="1">
        <v>39.89</v>
      </c>
      <c r="F18" s="1">
        <v>66.42</v>
      </c>
      <c r="G18" s="1">
        <v>65.099999999999994</v>
      </c>
    </row>
    <row r="19" spans="1:7" x14ac:dyDescent="0.25">
      <c r="A19" s="1" t="s">
        <v>23</v>
      </c>
      <c r="B19" s="1">
        <v>0</v>
      </c>
      <c r="C19" s="1">
        <v>1</v>
      </c>
      <c r="D19" s="1">
        <v>2</v>
      </c>
      <c r="E19" s="1">
        <v>1</v>
      </c>
      <c r="F19" s="1">
        <v>3</v>
      </c>
      <c r="G19" s="1">
        <v>1</v>
      </c>
    </row>
    <row r="20" spans="1:7" x14ac:dyDescent="0.25">
      <c r="A20" s="1" t="s">
        <v>24</v>
      </c>
      <c r="B20" s="1">
        <v>0</v>
      </c>
      <c r="C20" s="1">
        <v>1.1000000000000001</v>
      </c>
      <c r="D20" s="1">
        <v>2.2999999999999998</v>
      </c>
      <c r="E20" s="1">
        <v>1.1000000000000001</v>
      </c>
      <c r="F20" s="1">
        <v>3.4</v>
      </c>
      <c r="G20" s="1">
        <v>1.3</v>
      </c>
    </row>
    <row r="21" spans="1:7" x14ac:dyDescent="0.25">
      <c r="A21" s="1" t="s">
        <v>25</v>
      </c>
      <c r="B21" s="1">
        <v>10.1</v>
      </c>
      <c r="C21" s="1">
        <v>8.9</v>
      </c>
      <c r="D21" s="1">
        <v>7.7</v>
      </c>
      <c r="E21" s="1">
        <v>8.9</v>
      </c>
      <c r="F21" s="1">
        <v>6.6</v>
      </c>
      <c r="G21" s="1">
        <v>8.6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7.2</v>
      </c>
      <c r="C25" s="1">
        <v>10</v>
      </c>
      <c r="D25" s="1">
        <v>10</v>
      </c>
      <c r="E25" s="1">
        <v>10</v>
      </c>
      <c r="F25" s="1">
        <v>10</v>
      </c>
      <c r="G25" s="1">
        <v>9.9</v>
      </c>
    </row>
    <row r="26" spans="1:7" x14ac:dyDescent="0.25">
      <c r="A26" s="1" t="s">
        <v>30</v>
      </c>
      <c r="B26" s="1">
        <v>2.9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71.287128712871294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28.71287128712871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28.69</v>
      </c>
      <c r="C33" s="3">
        <v>0.02</v>
      </c>
      <c r="D33" s="3">
        <v>-0.68</v>
      </c>
      <c r="E33" s="3">
        <v>0.26</v>
      </c>
      <c r="F33" s="3">
        <v>-0.73</v>
      </c>
      <c r="G33" s="3">
        <v>-0.2</v>
      </c>
    </row>
    <row r="35" spans="1:7" x14ac:dyDescent="0.25">
      <c r="A35" s="3" t="s">
        <v>36</v>
      </c>
      <c r="B35" s="3"/>
      <c r="C35" s="3"/>
      <c r="D35" s="3">
        <f>D33-C33</f>
        <v>-0.70000000000000007</v>
      </c>
      <c r="E35" s="3"/>
      <c r="F35" s="3">
        <f>F33-E33</f>
        <v>-0.99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0.94000000000000006</v>
      </c>
      <c r="F37" s="3"/>
      <c r="G37" s="3">
        <f>G33-F33</f>
        <v>0.53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FF53-0880-4ABD-9C91-2C78E881532E}">
  <dimension ref="A1:G37"/>
  <sheetViews>
    <sheetView topLeftCell="A7" workbookViewId="0">
      <selection activeCell="I29" sqref="I2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240115C001.1</vt:lpstr>
      <vt:lpstr>240115C001.2</vt:lpstr>
      <vt:lpstr>240115C001.3</vt:lpstr>
      <vt:lpstr>240115C001.4</vt:lpstr>
      <vt:lpstr>240115C001.5</vt:lpstr>
      <vt:lpstr>240115C002.1</vt:lpstr>
      <vt:lpstr>240115C002.3</vt:lpstr>
      <vt:lpstr>240115C002.4</vt:lpstr>
      <vt:lpstr>240115C002.5</vt:lpstr>
      <vt:lpstr>240115C003.1</vt:lpstr>
      <vt:lpstr>240115C003.2</vt:lpstr>
      <vt:lpstr>240115C003.4</vt:lpstr>
      <vt:lpstr>240115C003.5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2024-01-24T21:53:50Z</dcterms:created>
  <dcterms:modified xsi:type="dcterms:W3CDTF">2024-01-25T00:26:14Z</dcterms:modified>
</cp:coreProperties>
</file>