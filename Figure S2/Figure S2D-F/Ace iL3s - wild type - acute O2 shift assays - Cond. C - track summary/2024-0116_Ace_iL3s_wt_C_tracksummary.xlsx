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16\WormLab Data\"/>
    </mc:Choice>
  </mc:AlternateContent>
  <xr:revisionPtr revIDLastSave="0" documentId="13_ncr:1_{F63234F1-2A44-48D6-8F9B-7FFFC5693A79}" xr6:coauthVersionLast="36" xr6:coauthVersionMax="36" xr10:uidLastSave="{00000000-0000-0000-0000-000000000000}"/>
  <bookViews>
    <workbookView xWindow="0" yWindow="0" windowWidth="24225" windowHeight="10995" activeTab="5" xr2:uid="{A3901623-3A01-46C9-9094-C174FBF6D7F1}"/>
  </bookViews>
  <sheets>
    <sheet name="240116C001.1" sheetId="2" r:id="rId1"/>
    <sheet name="240116C001.2" sheetId="3" r:id="rId2"/>
    <sheet name="240116C002.1" sheetId="4" r:id="rId3"/>
    <sheet name="240116C002.3" sheetId="5" r:id="rId4"/>
    <sheet name="240116C002.4" sheetId="6" r:id="rId5"/>
    <sheet name="240116C002.5" sheetId="7" r:id="rId6"/>
    <sheet name="template" sheetId="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E31" i="7"/>
  <c r="D31" i="7"/>
  <c r="C31" i="7"/>
  <c r="E30" i="7"/>
  <c r="D30" i="7"/>
  <c r="C30" i="7"/>
  <c r="B30" i="7"/>
  <c r="E29" i="7"/>
  <c r="G28" i="7"/>
  <c r="G31" i="7" s="1"/>
  <c r="F28" i="7"/>
  <c r="F29" i="7" s="1"/>
  <c r="E28" i="7"/>
  <c r="D28" i="7"/>
  <c r="D29" i="7" s="1"/>
  <c r="C28" i="7"/>
  <c r="C29" i="7" s="1"/>
  <c r="B28" i="7"/>
  <c r="B29" i="7" s="1"/>
  <c r="G37" i="6"/>
  <c r="E37" i="6"/>
  <c r="C37" i="6"/>
  <c r="F35" i="6"/>
  <c r="D35" i="6"/>
  <c r="C30" i="6"/>
  <c r="B30" i="6"/>
  <c r="G28" i="6"/>
  <c r="G31" i="6" s="1"/>
  <c r="F28" i="6"/>
  <c r="F31" i="6" s="1"/>
  <c r="E28" i="6"/>
  <c r="E31" i="6" s="1"/>
  <c r="D28" i="6"/>
  <c r="D29" i="6" s="1"/>
  <c r="C28" i="6"/>
  <c r="C29" i="6" s="1"/>
  <c r="B28" i="6"/>
  <c r="B29" i="6" s="1"/>
  <c r="G37" i="5"/>
  <c r="E37" i="5"/>
  <c r="C37" i="5"/>
  <c r="F35" i="5"/>
  <c r="D35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G28" i="5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G31" i="4"/>
  <c r="F31" i="4"/>
  <c r="E31" i="4"/>
  <c r="D31" i="4"/>
  <c r="C31" i="4"/>
  <c r="G30" i="4"/>
  <c r="F30" i="4"/>
  <c r="E30" i="4"/>
  <c r="D30" i="4"/>
  <c r="C30" i="4"/>
  <c r="B30" i="4"/>
  <c r="G29" i="4"/>
  <c r="F29" i="4"/>
  <c r="E29" i="4"/>
  <c r="D29" i="4"/>
  <c r="G28" i="4"/>
  <c r="F28" i="4"/>
  <c r="E28" i="4"/>
  <c r="D28" i="4"/>
  <c r="C28" i="4"/>
  <c r="C29" i="4" s="1"/>
  <c r="B28" i="4"/>
  <c r="B29" i="4" s="1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28" i="2"/>
  <c r="G31" i="2" s="1"/>
  <c r="F28" i="2"/>
  <c r="F29" i="2" s="1"/>
  <c r="E28" i="2"/>
  <c r="E29" i="2" s="1"/>
  <c r="D28" i="2"/>
  <c r="D30" i="2" s="1"/>
  <c r="C28" i="2"/>
  <c r="C30" i="2" s="1"/>
  <c r="B28" i="2"/>
  <c r="B30" i="2" s="1"/>
  <c r="G37" i="1"/>
  <c r="E37" i="1"/>
  <c r="C37" i="1"/>
  <c r="F35" i="1"/>
  <c r="D35" i="1"/>
  <c r="G31" i="1"/>
  <c r="F31" i="1"/>
  <c r="E31" i="1"/>
  <c r="D31" i="1"/>
  <c r="C31" i="1"/>
  <c r="G30" i="1"/>
  <c r="G28" i="1"/>
  <c r="G29" i="1" s="1"/>
  <c r="F28" i="1"/>
  <c r="F30" i="1" s="1"/>
  <c r="E28" i="1"/>
  <c r="E30" i="1" s="1"/>
  <c r="D28" i="1"/>
  <c r="D30" i="1" s="1"/>
  <c r="C28" i="1"/>
  <c r="C30" i="1" s="1"/>
  <c r="B28" i="1"/>
  <c r="B31" i="1" s="1"/>
  <c r="G29" i="7" l="1"/>
  <c r="F30" i="7"/>
  <c r="G30" i="7"/>
  <c r="F31" i="7"/>
  <c r="B31" i="7"/>
  <c r="F30" i="6"/>
  <c r="E29" i="6"/>
  <c r="G30" i="6"/>
  <c r="B31" i="6"/>
  <c r="D30" i="6"/>
  <c r="D31" i="6"/>
  <c r="F29" i="6"/>
  <c r="G29" i="6"/>
  <c r="E30" i="6"/>
  <c r="C31" i="6"/>
  <c r="B31" i="4"/>
  <c r="E30" i="2"/>
  <c r="F30" i="2"/>
  <c r="G30" i="2"/>
  <c r="B31" i="2"/>
  <c r="C31" i="2"/>
  <c r="D31" i="2"/>
  <c r="E31" i="2"/>
  <c r="F31" i="2"/>
  <c r="B29" i="2"/>
  <c r="C29" i="2"/>
  <c r="D29" i="2"/>
  <c r="G29" i="2"/>
  <c r="C29" i="1"/>
  <c r="E29" i="1"/>
  <c r="B29" i="1"/>
  <c r="D29" i="1"/>
  <c r="F29" i="1"/>
  <c r="B30" i="1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<sst xmlns="http://schemas.openxmlformats.org/spreadsheetml/2006/main" count="266" uniqueCount="37">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</sst>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DDF6-BFDB-4980-A15A-058625C98C36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581.59</v>
      </c>
      <c r="C2" s="1">
        <v>569.53</v>
      </c>
      <c r="D2" s="1">
        <v>584.08000000000004</v>
      </c>
      <c r="E2" s="1">
        <v>592.38</v>
      </c>
      <c r="F2" s="1">
        <v>591.27</v>
      </c>
      <c r="G2" s="1">
        <v>602.76</v>
      </c>
    </row>
    <row r="3" spans="1:7" x14ac:dyDescent="0.25">
      <c r="A3" s="1" t="s">
        <v>7</v>
      </c>
      <c r="B3" s="1">
        <v>46.04</v>
      </c>
      <c r="C3" s="1">
        <v>45.11</v>
      </c>
      <c r="D3" s="1">
        <v>45.74</v>
      </c>
      <c r="E3" s="1">
        <v>42.85</v>
      </c>
      <c r="F3" s="1">
        <v>42.74</v>
      </c>
      <c r="G3" s="1">
        <v>41.24</v>
      </c>
    </row>
    <row r="4" spans="1:7" x14ac:dyDescent="0.25">
      <c r="A4" s="1" t="s">
        <v>8</v>
      </c>
      <c r="B4" s="1">
        <v>27236.74</v>
      </c>
      <c r="C4" s="1">
        <v>26106.85</v>
      </c>
      <c r="D4" s="1">
        <v>27166.45</v>
      </c>
      <c r="E4" s="1">
        <v>25804.080000000002</v>
      </c>
      <c r="F4" s="1">
        <v>25689.78</v>
      </c>
      <c r="G4" s="1">
        <v>25271.11</v>
      </c>
    </row>
    <row r="5" spans="1:7" x14ac:dyDescent="0.25">
      <c r="A5" s="1" t="s">
        <v>9</v>
      </c>
      <c r="B5" s="1">
        <v>129.68</v>
      </c>
      <c r="C5" s="1">
        <v>174.76</v>
      </c>
      <c r="D5" s="1">
        <v>166.15</v>
      </c>
      <c r="E5" s="1">
        <v>277.26</v>
      </c>
      <c r="F5" s="1">
        <v>260.41000000000003</v>
      </c>
      <c r="G5" s="1">
        <v>261.79000000000002</v>
      </c>
    </row>
    <row r="6" spans="1:7" x14ac:dyDescent="0.25">
      <c r="A6" s="3" t="s">
        <v>10</v>
      </c>
      <c r="B6" s="3">
        <v>12.97</v>
      </c>
      <c r="C6" s="3">
        <v>17.649999999999999</v>
      </c>
      <c r="D6" s="3">
        <v>16.78</v>
      </c>
      <c r="E6" s="3">
        <v>28.01</v>
      </c>
      <c r="F6" s="3">
        <v>26.3</v>
      </c>
      <c r="G6" s="3">
        <v>26.71</v>
      </c>
    </row>
    <row r="7" spans="1:7" x14ac:dyDescent="0.25">
      <c r="A7" s="1" t="s">
        <v>11</v>
      </c>
      <c r="B7" s="1">
        <v>119.08</v>
      </c>
      <c r="C7" s="1">
        <v>166.16</v>
      </c>
      <c r="D7" s="1">
        <v>158.21</v>
      </c>
      <c r="E7" s="1">
        <v>248.28</v>
      </c>
      <c r="F7" s="1">
        <v>239.42</v>
      </c>
      <c r="G7" s="1">
        <v>248.36</v>
      </c>
    </row>
    <row r="8" spans="1:7" x14ac:dyDescent="0.25">
      <c r="A8" s="1" t="s">
        <v>12</v>
      </c>
      <c r="B8" s="1">
        <v>11.91</v>
      </c>
      <c r="C8" s="1">
        <v>16.78</v>
      </c>
      <c r="D8" s="1">
        <v>15.98</v>
      </c>
      <c r="E8" s="1">
        <v>25.08</v>
      </c>
      <c r="F8" s="1">
        <v>24.18</v>
      </c>
      <c r="G8" s="1">
        <v>25.34</v>
      </c>
    </row>
    <row r="9" spans="1:7" x14ac:dyDescent="0.25">
      <c r="A9" s="1" t="s">
        <v>13</v>
      </c>
      <c r="B9" s="1">
        <v>-23.36</v>
      </c>
      <c r="C9" s="1">
        <v>31.5</v>
      </c>
      <c r="D9" s="1">
        <v>31.67</v>
      </c>
      <c r="E9" s="1">
        <v>-48.22</v>
      </c>
      <c r="F9" s="1">
        <v>-30.38</v>
      </c>
      <c r="G9" s="1">
        <v>-32.08</v>
      </c>
    </row>
    <row r="10" spans="1:7" x14ac:dyDescent="0.25">
      <c r="A10" s="1" t="s">
        <v>14</v>
      </c>
      <c r="B10" s="1">
        <v>-2.34</v>
      </c>
      <c r="C10" s="1">
        <v>3.18</v>
      </c>
      <c r="D10" s="1">
        <v>3.2</v>
      </c>
      <c r="E10" s="1">
        <v>-4.87</v>
      </c>
      <c r="F10" s="1">
        <v>-3.07</v>
      </c>
      <c r="G10" s="1">
        <v>-3.27</v>
      </c>
    </row>
    <row r="11" spans="1:7" x14ac:dyDescent="0.25">
      <c r="A11" s="1" t="s">
        <v>15</v>
      </c>
      <c r="B11" s="1">
        <v>16.68</v>
      </c>
      <c r="C11" s="1">
        <v>10.57</v>
      </c>
      <c r="D11" s="1">
        <v>7.97</v>
      </c>
      <c r="E11" s="1">
        <v>2.5499999999999998</v>
      </c>
      <c r="F11" s="1">
        <v>2.0299999999999998</v>
      </c>
      <c r="G11" s="1">
        <v>8.99</v>
      </c>
    </row>
    <row r="12" spans="1:7" x14ac:dyDescent="0.25">
      <c r="A12" s="1" t="s">
        <v>16</v>
      </c>
      <c r="B12" s="1">
        <v>304.83</v>
      </c>
      <c r="C12" s="1">
        <v>299.99</v>
      </c>
      <c r="D12" s="1">
        <v>358.02</v>
      </c>
      <c r="E12" s="1">
        <v>270.64999999999998</v>
      </c>
      <c r="F12" s="1">
        <v>292.77999999999997</v>
      </c>
      <c r="G12" s="1">
        <v>255.32</v>
      </c>
    </row>
    <row r="13" spans="1:7" x14ac:dyDescent="0.25">
      <c r="A13" s="1" t="s">
        <v>17</v>
      </c>
      <c r="B13" s="1">
        <v>14.75</v>
      </c>
      <c r="C13" s="1">
        <v>28.31</v>
      </c>
      <c r="D13" s="1">
        <v>28.72</v>
      </c>
      <c r="E13" s="1">
        <v>27.54</v>
      </c>
      <c r="F13" s="1">
        <v>29.22</v>
      </c>
      <c r="G13" s="1">
        <v>23.73</v>
      </c>
    </row>
    <row r="14" spans="1:7" x14ac:dyDescent="0.25">
      <c r="A14" s="1" t="s">
        <v>18</v>
      </c>
      <c r="B14" s="1">
        <v>29.52</v>
      </c>
      <c r="C14" s="1">
        <v>35.85</v>
      </c>
      <c r="D14" s="1">
        <v>36.909999999999997</v>
      </c>
      <c r="E14" s="1">
        <v>37.78</v>
      </c>
      <c r="F14" s="1">
        <v>40.33</v>
      </c>
      <c r="G14" s="1">
        <v>40.090000000000003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47.86</v>
      </c>
      <c r="C17" s="1">
        <v>98.83</v>
      </c>
      <c r="D17" s="1">
        <v>94.94</v>
      </c>
      <c r="E17" s="1">
        <v>100.03</v>
      </c>
      <c r="F17" s="1">
        <v>104.52</v>
      </c>
      <c r="G17" s="1">
        <v>108.14</v>
      </c>
    </row>
    <row r="18" spans="1:7" x14ac:dyDescent="0.25">
      <c r="A18" s="1" t="s">
        <v>22</v>
      </c>
      <c r="B18" s="1">
        <v>71.22</v>
      </c>
      <c r="C18" s="1">
        <v>67.33</v>
      </c>
      <c r="D18" s="1">
        <v>63.27</v>
      </c>
      <c r="E18" s="1">
        <v>148.25</v>
      </c>
      <c r="F18" s="1">
        <v>134.9</v>
      </c>
      <c r="G18" s="1">
        <v>140.22</v>
      </c>
    </row>
    <row r="19" spans="1:7" x14ac:dyDescent="0.25">
      <c r="A19" s="1" t="s">
        <v>23</v>
      </c>
      <c r="B19" s="1">
        <v>2</v>
      </c>
      <c r="C19" s="1">
        <v>2</v>
      </c>
      <c r="D19" s="1">
        <v>1</v>
      </c>
      <c r="E19" s="1">
        <v>2</v>
      </c>
      <c r="F19" s="1">
        <v>1</v>
      </c>
      <c r="G19" s="1">
        <v>2</v>
      </c>
    </row>
    <row r="20" spans="1:7" x14ac:dyDescent="0.25">
      <c r="A20" s="1" t="s">
        <v>24</v>
      </c>
      <c r="B20" s="1">
        <v>4</v>
      </c>
      <c r="C20" s="1">
        <v>2.4</v>
      </c>
      <c r="D20" s="1">
        <v>1.8</v>
      </c>
      <c r="E20" s="1">
        <v>4</v>
      </c>
      <c r="F20" s="1">
        <v>1.1000000000000001</v>
      </c>
      <c r="G20" s="1">
        <v>3.5</v>
      </c>
    </row>
    <row r="21" spans="1:7" x14ac:dyDescent="0.25">
      <c r="A21" s="1" t="s">
        <v>25</v>
      </c>
      <c r="B21" s="1">
        <v>6.1</v>
      </c>
      <c r="C21" s="1">
        <v>7.6</v>
      </c>
      <c r="D21" s="1">
        <v>8.1999999999999993</v>
      </c>
      <c r="E21" s="1">
        <v>6</v>
      </c>
      <c r="F21" s="1">
        <v>8.9</v>
      </c>
      <c r="G21" s="1">
        <v>6.4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-0.78</v>
      </c>
      <c r="C33" s="3">
        <v>0.63</v>
      </c>
      <c r="D33" s="3">
        <v>0.16</v>
      </c>
      <c r="E33" s="3">
        <v>0.25</v>
      </c>
      <c r="F33" s="3">
        <v>-0.49</v>
      </c>
      <c r="G33" s="3">
        <v>-1.04</v>
      </c>
    </row>
    <row r="35" spans="1:7" x14ac:dyDescent="0.25">
      <c r="A35" s="3" t="s">
        <v>36</v>
      </c>
      <c r="B35" s="3"/>
      <c r="C35" s="3"/>
      <c r="D35" s="3">
        <f>D33-C33</f>
        <v>-0.47</v>
      </c>
      <c r="E35" s="3"/>
      <c r="F35" s="3">
        <f>F33-E33</f>
        <v>-0.74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0.09</v>
      </c>
      <c r="F37" s="3"/>
      <c r="G37" s="3">
        <f>G33-F33</f>
        <v>-0.55000000000000004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C3DE-9BEA-4FD5-A294-A77BEDB62FB7}">
  <dimension ref="A1:G37"/>
  <sheetViews>
    <sheetView topLeftCell="A7" workbookViewId="0">
      <selection activeCell="A40" sqref="A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545.96</v>
      </c>
      <c r="C2" s="1">
        <v>554.54</v>
      </c>
      <c r="D2" s="1">
        <v>546.08000000000004</v>
      </c>
      <c r="E2" s="1">
        <v>560.48</v>
      </c>
      <c r="F2" s="1">
        <v>511.36</v>
      </c>
      <c r="G2" s="1">
        <v>476.09</v>
      </c>
    </row>
    <row r="3" spans="1:7" x14ac:dyDescent="0.25">
      <c r="A3" s="1" t="s">
        <v>7</v>
      </c>
      <c r="B3" s="1">
        <v>45.68</v>
      </c>
      <c r="C3" s="1">
        <v>47.42</v>
      </c>
      <c r="D3" s="1">
        <v>47.53</v>
      </c>
      <c r="E3" s="1">
        <v>48.96</v>
      </c>
      <c r="F3" s="1">
        <v>45.07</v>
      </c>
      <c r="G3" s="1">
        <v>42.4</v>
      </c>
    </row>
    <row r="4" spans="1:7" x14ac:dyDescent="0.25">
      <c r="A4" s="1" t="s">
        <v>8</v>
      </c>
      <c r="B4" s="1">
        <v>25372.65</v>
      </c>
      <c r="C4" s="1">
        <v>26770.74</v>
      </c>
      <c r="D4" s="1">
        <v>26384.17</v>
      </c>
      <c r="E4" s="1">
        <v>27882.95</v>
      </c>
      <c r="F4" s="1">
        <v>23414.26</v>
      </c>
      <c r="G4" s="1">
        <v>20520.36</v>
      </c>
    </row>
    <row r="5" spans="1:7" x14ac:dyDescent="0.25">
      <c r="A5" s="1" t="s">
        <v>9</v>
      </c>
      <c r="B5" s="1">
        <v>1089.48</v>
      </c>
      <c r="C5" s="1">
        <v>1031.28</v>
      </c>
      <c r="D5" s="1">
        <v>411.91</v>
      </c>
      <c r="E5" s="1">
        <v>636.01</v>
      </c>
      <c r="F5" s="1">
        <v>1019.79</v>
      </c>
      <c r="G5" s="1">
        <v>921.43</v>
      </c>
    </row>
    <row r="6" spans="1:7" x14ac:dyDescent="0.25">
      <c r="A6" s="3" t="s">
        <v>10</v>
      </c>
      <c r="B6" s="3">
        <v>108.95</v>
      </c>
      <c r="C6" s="3">
        <v>104.17</v>
      </c>
      <c r="D6" s="3">
        <v>41.61</v>
      </c>
      <c r="E6" s="3">
        <v>64.239999999999995</v>
      </c>
      <c r="F6" s="3">
        <v>103.01</v>
      </c>
      <c r="G6" s="3">
        <v>94.02</v>
      </c>
    </row>
    <row r="7" spans="1:7" x14ac:dyDescent="0.25">
      <c r="A7" s="1" t="s">
        <v>11</v>
      </c>
      <c r="B7" s="1">
        <v>1055.1400000000001</v>
      </c>
      <c r="C7" s="1">
        <v>981.97</v>
      </c>
      <c r="D7" s="1">
        <v>398.3</v>
      </c>
      <c r="E7" s="1">
        <v>617.22</v>
      </c>
      <c r="F7" s="1">
        <v>940.75</v>
      </c>
      <c r="G7" s="1">
        <v>871.82</v>
      </c>
    </row>
    <row r="8" spans="1:7" x14ac:dyDescent="0.25">
      <c r="A8" s="1" t="s">
        <v>12</v>
      </c>
      <c r="B8" s="1">
        <v>105.51</v>
      </c>
      <c r="C8" s="1">
        <v>99.19</v>
      </c>
      <c r="D8" s="1">
        <v>40.229999999999997</v>
      </c>
      <c r="E8" s="1">
        <v>62.35</v>
      </c>
      <c r="F8" s="1">
        <v>95.03</v>
      </c>
      <c r="G8" s="1">
        <v>88.96</v>
      </c>
    </row>
    <row r="9" spans="1:7" x14ac:dyDescent="0.25">
      <c r="A9" s="1" t="s">
        <v>13</v>
      </c>
      <c r="B9" s="1">
        <v>1055.1400000000001</v>
      </c>
      <c r="C9" s="1">
        <v>981.97</v>
      </c>
      <c r="D9" s="1">
        <v>-209.02</v>
      </c>
      <c r="E9" s="1">
        <v>-290.92</v>
      </c>
      <c r="F9" s="1">
        <v>838.18</v>
      </c>
      <c r="G9" s="1">
        <v>824.22</v>
      </c>
    </row>
    <row r="10" spans="1:7" x14ac:dyDescent="0.25">
      <c r="A10" s="1" t="s">
        <v>14</v>
      </c>
      <c r="B10" s="1">
        <v>105.51</v>
      </c>
      <c r="C10" s="1">
        <v>99.19</v>
      </c>
      <c r="D10" s="1">
        <v>-21.11</v>
      </c>
      <c r="E10" s="1">
        <v>-29.39</v>
      </c>
      <c r="F10" s="1">
        <v>84.66</v>
      </c>
      <c r="G10" s="1">
        <v>84.1</v>
      </c>
    </row>
    <row r="11" spans="1:7" x14ac:dyDescent="0.25">
      <c r="A11" s="1" t="s">
        <v>15</v>
      </c>
      <c r="B11" s="1">
        <v>559.12</v>
      </c>
      <c r="C11" s="1">
        <v>590.65</v>
      </c>
      <c r="D11" s="1">
        <v>66.08</v>
      </c>
      <c r="E11" s="1">
        <v>114.16</v>
      </c>
      <c r="F11" s="1">
        <v>355.41</v>
      </c>
      <c r="G11" s="1">
        <v>515.28</v>
      </c>
    </row>
    <row r="12" spans="1:7" x14ac:dyDescent="0.25">
      <c r="A12" s="1" t="s">
        <v>16</v>
      </c>
      <c r="B12" s="1">
        <v>257.83999999999997</v>
      </c>
      <c r="C12" s="1">
        <v>253.91</v>
      </c>
      <c r="D12" s="1">
        <v>264.58999999999997</v>
      </c>
      <c r="E12" s="1">
        <v>230.31</v>
      </c>
      <c r="F12" s="1">
        <v>247.58</v>
      </c>
      <c r="G12" s="1">
        <v>249.51</v>
      </c>
    </row>
    <row r="13" spans="1:7" x14ac:dyDescent="0.25">
      <c r="A13" s="1" t="s">
        <v>17</v>
      </c>
      <c r="B13" s="1">
        <v>55.89</v>
      </c>
      <c r="C13" s="1">
        <v>48.33</v>
      </c>
      <c r="D13" s="1">
        <v>34.119999999999997</v>
      </c>
      <c r="E13" s="1">
        <v>73.37</v>
      </c>
      <c r="F13" s="1">
        <v>45.06</v>
      </c>
      <c r="G13" s="1">
        <v>39.14</v>
      </c>
    </row>
    <row r="14" spans="1:7" x14ac:dyDescent="0.25">
      <c r="A14" s="1" t="s">
        <v>18</v>
      </c>
      <c r="B14" s="1">
        <v>113.8</v>
      </c>
      <c r="C14" s="1">
        <v>111.81</v>
      </c>
      <c r="D14" s="1">
        <v>109.06</v>
      </c>
      <c r="E14" s="1">
        <v>105.71</v>
      </c>
      <c r="F14" s="1">
        <v>77.8</v>
      </c>
      <c r="G14" s="1">
        <v>81.180000000000007</v>
      </c>
    </row>
    <row r="15" spans="1:7" x14ac:dyDescent="0.25">
      <c r="A15" s="1" t="s">
        <v>19</v>
      </c>
      <c r="B15" s="1">
        <v>5</v>
      </c>
      <c r="C15" s="1">
        <v>4</v>
      </c>
      <c r="D15" s="1">
        <v>1</v>
      </c>
      <c r="E15" s="1">
        <v>3</v>
      </c>
      <c r="F15" s="1">
        <v>4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1055.1400000000001</v>
      </c>
      <c r="C17" s="1">
        <v>981.97</v>
      </c>
      <c r="D17" s="1">
        <v>94.64</v>
      </c>
      <c r="E17" s="1">
        <v>163.15</v>
      </c>
      <c r="F17" s="1">
        <v>889.47</v>
      </c>
      <c r="G17" s="1">
        <v>848.02</v>
      </c>
    </row>
    <row r="18" spans="1:7" x14ac:dyDescent="0.25">
      <c r="A18" s="1" t="s">
        <v>22</v>
      </c>
      <c r="B18" s="1">
        <v>0</v>
      </c>
      <c r="C18" s="1">
        <v>0</v>
      </c>
      <c r="D18" s="1">
        <v>303.66000000000003</v>
      </c>
      <c r="E18" s="1">
        <v>454.07</v>
      </c>
      <c r="F18" s="1">
        <v>51.28</v>
      </c>
      <c r="G18" s="1">
        <v>23.8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2.8</v>
      </c>
      <c r="E20" s="1">
        <v>2.4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7.2</v>
      </c>
      <c r="E21" s="1">
        <v>7.6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2.7</v>
      </c>
      <c r="E24" s="1">
        <v>1.8</v>
      </c>
      <c r="F24" s="1">
        <v>1.2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6.2</v>
      </c>
      <c r="E25" s="1">
        <v>6.1</v>
      </c>
      <c r="F25" s="1">
        <v>3.5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1.1000000000000001</v>
      </c>
      <c r="E26" s="1">
        <v>2.1</v>
      </c>
      <c r="F26" s="1">
        <v>5.3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27</v>
      </c>
      <c r="E29" s="3">
        <f t="shared" si="1"/>
        <v>18</v>
      </c>
      <c r="F29" s="3">
        <f t="shared" si="1"/>
        <v>12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62</v>
      </c>
      <c r="E30" s="3">
        <f t="shared" si="2"/>
        <v>61</v>
      </c>
      <c r="F30" s="3">
        <f t="shared" si="2"/>
        <v>35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11.000000000000002</v>
      </c>
      <c r="E31" s="3">
        <f t="shared" si="3"/>
        <v>21.000000000000004</v>
      </c>
      <c r="F31" s="3">
        <f t="shared" si="3"/>
        <v>53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106.92</v>
      </c>
      <c r="C33" s="3">
        <v>104.7</v>
      </c>
      <c r="D33" s="3">
        <v>-7.95</v>
      </c>
      <c r="E33" s="3">
        <v>-6.77</v>
      </c>
      <c r="F33" s="3">
        <v>77.02</v>
      </c>
      <c r="G33" s="3">
        <v>87.12</v>
      </c>
    </row>
    <row r="35" spans="1:7" x14ac:dyDescent="0.25">
      <c r="A35" s="3" t="s">
        <v>36</v>
      </c>
      <c r="B35" s="3"/>
      <c r="C35" s="3"/>
      <c r="D35" s="3">
        <f>D33-C33</f>
        <v>-112.65</v>
      </c>
      <c r="E35" s="3"/>
      <c r="F35" s="3">
        <f>F33-E33</f>
        <v>83.789999999999992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1.1800000000000006</v>
      </c>
      <c r="F37" s="3"/>
      <c r="G37" s="3">
        <f>G33-F33</f>
        <v>10.100000000000009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3C0F-7240-4A87-A9A0-43CED60545DD}">
  <dimension ref="A1:G37"/>
  <sheetViews>
    <sheetView topLeftCell="A7" workbookViewId="0">
      <selection activeCell="A40" sqref="A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513.20000000000005</v>
      </c>
      <c r="C2" s="1">
        <v>518.5</v>
      </c>
      <c r="D2" s="1">
        <v>521.98</v>
      </c>
      <c r="E2" s="1">
        <v>547.79999999999995</v>
      </c>
      <c r="F2" s="1">
        <v>549.14</v>
      </c>
      <c r="G2" s="1">
        <v>536.03</v>
      </c>
    </row>
    <row r="3" spans="1:7" x14ac:dyDescent="0.25">
      <c r="A3" s="1" t="s">
        <v>7</v>
      </c>
      <c r="B3" s="1">
        <v>47.26</v>
      </c>
      <c r="C3" s="1">
        <v>47.26</v>
      </c>
      <c r="D3" s="1">
        <v>47.75</v>
      </c>
      <c r="E3" s="1">
        <v>57.91</v>
      </c>
      <c r="F3" s="1">
        <v>58.3</v>
      </c>
      <c r="G3" s="1">
        <v>49.89</v>
      </c>
    </row>
    <row r="4" spans="1:7" x14ac:dyDescent="0.25">
      <c r="A4" s="1" t="s">
        <v>8</v>
      </c>
      <c r="B4" s="1">
        <v>24651.22</v>
      </c>
      <c r="C4" s="1">
        <v>24917.55</v>
      </c>
      <c r="D4" s="1">
        <v>25355.8</v>
      </c>
      <c r="E4" s="1">
        <v>32212.31</v>
      </c>
      <c r="F4" s="1">
        <v>32556.13</v>
      </c>
      <c r="G4" s="1">
        <v>27185.97</v>
      </c>
    </row>
    <row r="5" spans="1:7" x14ac:dyDescent="0.25">
      <c r="A5" s="1" t="s">
        <v>9</v>
      </c>
      <c r="B5" s="1">
        <v>224.24</v>
      </c>
      <c r="C5" s="1">
        <v>188.96</v>
      </c>
      <c r="D5" s="1">
        <v>136.16999999999999</v>
      </c>
      <c r="E5" s="1">
        <v>1090.56</v>
      </c>
      <c r="F5" s="1">
        <v>1078.8800000000001</v>
      </c>
      <c r="G5" s="1">
        <v>1322.42</v>
      </c>
    </row>
    <row r="6" spans="1:7" x14ac:dyDescent="0.25">
      <c r="A6" s="3" t="s">
        <v>10</v>
      </c>
      <c r="B6" s="3">
        <v>22.42</v>
      </c>
      <c r="C6" s="3">
        <v>19.09</v>
      </c>
      <c r="D6" s="3">
        <v>13.76</v>
      </c>
      <c r="E6" s="3">
        <v>110.16</v>
      </c>
      <c r="F6" s="3">
        <v>108.98</v>
      </c>
      <c r="G6" s="3">
        <v>134.94</v>
      </c>
    </row>
    <row r="7" spans="1:7" x14ac:dyDescent="0.25">
      <c r="A7" s="1" t="s">
        <v>11</v>
      </c>
      <c r="B7" s="1">
        <v>215.26</v>
      </c>
      <c r="C7" s="1">
        <v>182.82</v>
      </c>
      <c r="D7" s="1">
        <v>128.47999999999999</v>
      </c>
      <c r="E7" s="1">
        <v>1055.22</v>
      </c>
      <c r="F7" s="1">
        <v>1057.9100000000001</v>
      </c>
      <c r="G7" s="1">
        <v>1258.8399999999999</v>
      </c>
    </row>
    <row r="8" spans="1:7" x14ac:dyDescent="0.25">
      <c r="A8" s="1" t="s">
        <v>12</v>
      </c>
      <c r="B8" s="1">
        <v>21.53</v>
      </c>
      <c r="C8" s="1">
        <v>18.47</v>
      </c>
      <c r="D8" s="1">
        <v>12.98</v>
      </c>
      <c r="E8" s="1">
        <v>106.59</v>
      </c>
      <c r="F8" s="1">
        <v>106.86</v>
      </c>
      <c r="G8" s="1">
        <v>128.44999999999999</v>
      </c>
    </row>
    <row r="9" spans="1:7" x14ac:dyDescent="0.25">
      <c r="A9" s="1" t="s">
        <v>13</v>
      </c>
      <c r="B9" s="1">
        <v>-24.64</v>
      </c>
      <c r="C9" s="1">
        <v>20.96</v>
      </c>
      <c r="D9" s="1">
        <v>40.01</v>
      </c>
      <c r="E9" s="1">
        <v>1054.45</v>
      </c>
      <c r="F9" s="1">
        <v>1057.9100000000001</v>
      </c>
      <c r="G9" s="1">
        <v>1258.8399999999999</v>
      </c>
    </row>
    <row r="10" spans="1:7" x14ac:dyDescent="0.25">
      <c r="A10" s="1" t="s">
        <v>14</v>
      </c>
      <c r="B10" s="1">
        <v>-2.46</v>
      </c>
      <c r="C10" s="1">
        <v>2.12</v>
      </c>
      <c r="D10" s="1">
        <v>4.04</v>
      </c>
      <c r="E10" s="1">
        <v>106.51</v>
      </c>
      <c r="F10" s="1">
        <v>106.86</v>
      </c>
      <c r="G10" s="1">
        <v>128.44999999999999</v>
      </c>
    </row>
    <row r="11" spans="1:7" x14ac:dyDescent="0.25">
      <c r="A11" s="1" t="s">
        <v>15</v>
      </c>
      <c r="B11" s="1">
        <v>11</v>
      </c>
      <c r="C11" s="1">
        <v>1.63</v>
      </c>
      <c r="D11" s="1">
        <v>26.66</v>
      </c>
      <c r="E11" s="1">
        <v>788.25</v>
      </c>
      <c r="F11" s="1">
        <v>867.53</v>
      </c>
      <c r="G11" s="1">
        <v>1117.9000000000001</v>
      </c>
    </row>
    <row r="12" spans="1:7" x14ac:dyDescent="0.25">
      <c r="A12" s="1" t="s">
        <v>16</v>
      </c>
      <c r="B12" s="1">
        <v>299.08</v>
      </c>
      <c r="C12" s="1">
        <v>291.7</v>
      </c>
      <c r="D12" s="1">
        <v>285.89</v>
      </c>
      <c r="E12" s="1">
        <v>267.25</v>
      </c>
      <c r="F12" s="1">
        <v>285.83999999999997</v>
      </c>
      <c r="G12" s="1">
        <v>287.12</v>
      </c>
    </row>
    <row r="13" spans="1:7" x14ac:dyDescent="0.25">
      <c r="A13" s="1" t="s">
        <v>17</v>
      </c>
      <c r="B13" s="1">
        <v>42.03</v>
      </c>
      <c r="C13" s="1">
        <v>43.65</v>
      </c>
      <c r="D13" s="1">
        <v>45.87</v>
      </c>
      <c r="E13" s="1">
        <v>37.46</v>
      </c>
      <c r="F13" s="1">
        <v>31.47</v>
      </c>
      <c r="G13" s="1">
        <v>31.4</v>
      </c>
    </row>
    <row r="14" spans="1:7" x14ac:dyDescent="0.25">
      <c r="A14" s="1" t="s">
        <v>18</v>
      </c>
      <c r="B14" s="1">
        <v>48.96</v>
      </c>
      <c r="C14" s="1">
        <v>50.13</v>
      </c>
      <c r="D14" s="1">
        <v>54.21</v>
      </c>
      <c r="E14" s="1">
        <v>67.680000000000007</v>
      </c>
      <c r="F14" s="1">
        <v>62.06</v>
      </c>
      <c r="G14" s="1">
        <v>65.22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2</v>
      </c>
      <c r="F15" s="1">
        <v>4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95.31</v>
      </c>
      <c r="C17" s="1">
        <v>101.89</v>
      </c>
      <c r="D17" s="1">
        <v>84.25</v>
      </c>
      <c r="E17" s="1">
        <v>1054.83</v>
      </c>
      <c r="F17" s="1">
        <v>1057.9100000000001</v>
      </c>
      <c r="G17" s="1">
        <v>1258.8399999999999</v>
      </c>
    </row>
    <row r="18" spans="1:7" x14ac:dyDescent="0.25">
      <c r="A18" s="1" t="s">
        <v>22</v>
      </c>
      <c r="B18" s="1">
        <v>119.95</v>
      </c>
      <c r="C18" s="1">
        <v>80.930000000000007</v>
      </c>
      <c r="D18" s="1">
        <v>44.23</v>
      </c>
      <c r="E18" s="1">
        <v>0.38</v>
      </c>
      <c r="F18" s="1">
        <v>0</v>
      </c>
      <c r="G18" s="1">
        <v>0</v>
      </c>
    </row>
    <row r="19" spans="1:7" x14ac:dyDescent="0.25">
      <c r="A19" s="1" t="s">
        <v>23</v>
      </c>
      <c r="B19" s="1">
        <v>3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4.5</v>
      </c>
      <c r="C20" s="1">
        <v>1</v>
      </c>
      <c r="D20" s="1">
        <v>1.3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5.6</v>
      </c>
      <c r="C21" s="1">
        <v>9</v>
      </c>
      <c r="D21" s="1">
        <v>8.6999999999999993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-1.17</v>
      </c>
      <c r="C33" s="3">
        <v>0.26</v>
      </c>
      <c r="D33" s="3">
        <v>2.79</v>
      </c>
      <c r="E33" s="3">
        <v>110.25</v>
      </c>
      <c r="F33" s="3">
        <v>107.88</v>
      </c>
      <c r="G33" s="3">
        <v>134.88999999999999</v>
      </c>
    </row>
    <row r="35" spans="1:7" x14ac:dyDescent="0.25">
      <c r="A35" s="3" t="s">
        <v>36</v>
      </c>
      <c r="B35" s="3"/>
      <c r="C35" s="3"/>
      <c r="D35" s="3">
        <f>D33-C33</f>
        <v>2.5300000000000002</v>
      </c>
      <c r="E35" s="3"/>
      <c r="F35" s="3">
        <f>F33-E33</f>
        <v>-2.3700000000000045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107.46</v>
      </c>
      <c r="F37" s="3"/>
      <c r="G37" s="3">
        <f>G33-F33</f>
        <v>27.009999999999991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20A5-BB1F-4FCA-AB5F-3B06A80FA09E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615.48</v>
      </c>
      <c r="C2" s="1">
        <v>614.95000000000005</v>
      </c>
      <c r="D2" s="1">
        <v>609.20000000000005</v>
      </c>
      <c r="E2" s="1">
        <v>571.91999999999996</v>
      </c>
      <c r="F2" s="1">
        <v>575.14</v>
      </c>
      <c r="G2" s="1">
        <v>572.64</v>
      </c>
    </row>
    <row r="3" spans="1:7" x14ac:dyDescent="0.25">
      <c r="A3" s="1" t="s">
        <v>7</v>
      </c>
      <c r="B3" s="1">
        <v>50.18</v>
      </c>
      <c r="C3" s="1">
        <v>51.46</v>
      </c>
      <c r="D3" s="1">
        <v>51.38</v>
      </c>
      <c r="E3" s="1">
        <v>51.21</v>
      </c>
      <c r="F3" s="1">
        <v>49.94</v>
      </c>
      <c r="G3" s="1">
        <v>49.4</v>
      </c>
    </row>
    <row r="4" spans="1:7" x14ac:dyDescent="0.25">
      <c r="A4" s="1" t="s">
        <v>8</v>
      </c>
      <c r="B4" s="1">
        <v>31413.38</v>
      </c>
      <c r="C4" s="1">
        <v>32191.99</v>
      </c>
      <c r="D4" s="1">
        <v>31838.720000000001</v>
      </c>
      <c r="E4" s="1">
        <v>29765.77</v>
      </c>
      <c r="F4" s="1">
        <v>29198.69</v>
      </c>
      <c r="G4" s="1">
        <v>28774.51</v>
      </c>
    </row>
    <row r="5" spans="1:7" x14ac:dyDescent="0.25">
      <c r="A5" s="1" t="s">
        <v>9</v>
      </c>
      <c r="B5" s="1">
        <v>105.44</v>
      </c>
      <c r="C5" s="1">
        <v>78.13</v>
      </c>
      <c r="D5" s="1">
        <v>110.11</v>
      </c>
      <c r="E5" s="1">
        <v>160.51</v>
      </c>
      <c r="F5" s="1">
        <v>200.33</v>
      </c>
      <c r="G5" s="1">
        <v>108.86</v>
      </c>
    </row>
    <row r="6" spans="1:7" x14ac:dyDescent="0.25">
      <c r="A6" s="3" t="s">
        <v>10</v>
      </c>
      <c r="B6" s="3">
        <v>10.54</v>
      </c>
      <c r="C6" s="3">
        <v>7.89</v>
      </c>
      <c r="D6" s="3">
        <v>11.12</v>
      </c>
      <c r="E6" s="3">
        <v>16.21</v>
      </c>
      <c r="F6" s="3">
        <v>20.239999999999998</v>
      </c>
      <c r="G6" s="3">
        <v>11.11</v>
      </c>
    </row>
    <row r="7" spans="1:7" x14ac:dyDescent="0.25">
      <c r="A7" s="1" t="s">
        <v>11</v>
      </c>
      <c r="B7" s="1">
        <v>92.98</v>
      </c>
      <c r="C7" s="1">
        <v>62.68</v>
      </c>
      <c r="D7" s="1">
        <v>97.91</v>
      </c>
      <c r="E7" s="1">
        <v>143.19999999999999</v>
      </c>
      <c r="F7" s="1">
        <v>184.68</v>
      </c>
      <c r="G7" s="1">
        <v>91.98</v>
      </c>
    </row>
    <row r="8" spans="1:7" x14ac:dyDescent="0.25">
      <c r="A8" s="1" t="s">
        <v>12</v>
      </c>
      <c r="B8" s="1">
        <v>9.3000000000000007</v>
      </c>
      <c r="C8" s="1">
        <v>6.33</v>
      </c>
      <c r="D8" s="1">
        <v>9.89</v>
      </c>
      <c r="E8" s="1">
        <v>14.47</v>
      </c>
      <c r="F8" s="1">
        <v>18.649999999999999</v>
      </c>
      <c r="G8" s="1">
        <v>9.39</v>
      </c>
    </row>
    <row r="9" spans="1:7" x14ac:dyDescent="0.25">
      <c r="A9" s="1" t="s">
        <v>13</v>
      </c>
      <c r="B9" s="1">
        <v>-12.06</v>
      </c>
      <c r="C9" s="1">
        <v>-6.43</v>
      </c>
      <c r="D9" s="1">
        <v>-17.97</v>
      </c>
      <c r="E9" s="1">
        <v>33.53</v>
      </c>
      <c r="F9" s="1">
        <v>82.76</v>
      </c>
      <c r="G9" s="1">
        <v>41.91</v>
      </c>
    </row>
    <row r="10" spans="1:7" x14ac:dyDescent="0.25">
      <c r="A10" s="1" t="s">
        <v>14</v>
      </c>
      <c r="B10" s="1">
        <v>-1.21</v>
      </c>
      <c r="C10" s="1">
        <v>-0.65</v>
      </c>
      <c r="D10" s="1">
        <v>-1.82</v>
      </c>
      <c r="E10" s="1">
        <v>3.39</v>
      </c>
      <c r="F10" s="1">
        <v>8.36</v>
      </c>
      <c r="G10" s="1">
        <v>4.28</v>
      </c>
    </row>
    <row r="11" spans="1:7" x14ac:dyDescent="0.25">
      <c r="A11" s="1" t="s">
        <v>15</v>
      </c>
      <c r="B11" s="1">
        <v>4.04</v>
      </c>
      <c r="C11" s="1">
        <v>3.25</v>
      </c>
      <c r="D11" s="1">
        <v>9.8000000000000007</v>
      </c>
      <c r="E11" s="1">
        <v>14.79</v>
      </c>
      <c r="F11" s="1">
        <v>68.61</v>
      </c>
      <c r="G11" s="1">
        <v>31.25</v>
      </c>
    </row>
    <row r="12" spans="1:7" x14ac:dyDescent="0.25">
      <c r="A12" s="1" t="s">
        <v>16</v>
      </c>
      <c r="B12" s="1">
        <v>315.79000000000002</v>
      </c>
      <c r="C12" s="1">
        <v>333.42</v>
      </c>
      <c r="D12" s="1">
        <v>307.64999999999998</v>
      </c>
      <c r="E12" s="1">
        <v>269.14999999999998</v>
      </c>
      <c r="F12" s="1">
        <v>256.51</v>
      </c>
      <c r="G12" s="1">
        <v>264.58</v>
      </c>
    </row>
    <row r="13" spans="1:7" x14ac:dyDescent="0.25">
      <c r="A13" s="1" t="s">
        <v>17</v>
      </c>
      <c r="B13" s="1">
        <v>19.850000000000001</v>
      </c>
      <c r="C13" s="1">
        <v>1.69</v>
      </c>
      <c r="D13" s="1">
        <v>2.3199999999999998</v>
      </c>
      <c r="E13" s="1">
        <v>7.85</v>
      </c>
      <c r="F13" s="1">
        <v>13.46</v>
      </c>
      <c r="G13" s="1">
        <v>9.2899999999999991</v>
      </c>
    </row>
    <row r="14" spans="1:7" x14ac:dyDescent="0.25">
      <c r="A14" s="1" t="s">
        <v>18</v>
      </c>
      <c r="B14" s="1">
        <v>24.07</v>
      </c>
      <c r="C14" s="1">
        <v>4.9400000000000004</v>
      </c>
      <c r="D14" s="1">
        <v>10.02</v>
      </c>
      <c r="E14" s="1">
        <v>14.75</v>
      </c>
      <c r="F14" s="1">
        <v>21.97</v>
      </c>
      <c r="G14" s="1">
        <v>19.440000000000001</v>
      </c>
    </row>
    <row r="15" spans="1:7" x14ac:dyDescent="0.25">
      <c r="A15" s="1" t="s">
        <v>19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40.46</v>
      </c>
      <c r="C17" s="1">
        <v>28.12</v>
      </c>
      <c r="D17" s="1">
        <v>39.97</v>
      </c>
      <c r="E17" s="1">
        <v>88.37</v>
      </c>
      <c r="F17" s="1">
        <v>133.72</v>
      </c>
      <c r="G17" s="1">
        <v>66.94</v>
      </c>
    </row>
    <row r="18" spans="1:7" x14ac:dyDescent="0.25">
      <c r="A18" s="1" t="s">
        <v>22</v>
      </c>
      <c r="B18" s="1">
        <v>52.52</v>
      </c>
      <c r="C18" s="1">
        <v>34.56</v>
      </c>
      <c r="D18" s="1">
        <v>57.94</v>
      </c>
      <c r="E18" s="1">
        <v>54.84</v>
      </c>
      <c r="F18" s="1">
        <v>50.96</v>
      </c>
      <c r="G18" s="1">
        <v>25.03</v>
      </c>
    </row>
    <row r="19" spans="1:7" x14ac:dyDescent="0.25">
      <c r="A19" s="1" t="s">
        <v>23</v>
      </c>
      <c r="B19" s="1">
        <v>3</v>
      </c>
      <c r="C19" s="1">
        <v>2</v>
      </c>
      <c r="D19" s="1">
        <v>2</v>
      </c>
      <c r="E19" s="1">
        <v>4</v>
      </c>
      <c r="F19" s="1">
        <v>2</v>
      </c>
      <c r="G19" s="1">
        <v>0</v>
      </c>
    </row>
    <row r="20" spans="1:7" x14ac:dyDescent="0.25">
      <c r="A20" s="1" t="s">
        <v>24</v>
      </c>
      <c r="B20" s="1">
        <v>3.1</v>
      </c>
      <c r="C20" s="1">
        <v>2.2000000000000002</v>
      </c>
      <c r="D20" s="1">
        <v>2.7</v>
      </c>
      <c r="E20" s="1">
        <v>5</v>
      </c>
      <c r="F20" s="1">
        <v>2.5</v>
      </c>
      <c r="G20" s="1">
        <v>0</v>
      </c>
    </row>
    <row r="21" spans="1:7" x14ac:dyDescent="0.25">
      <c r="A21" s="1" t="s">
        <v>25</v>
      </c>
      <c r="B21" s="1">
        <v>7</v>
      </c>
      <c r="C21" s="1">
        <v>7.8</v>
      </c>
      <c r="D21" s="1">
        <v>7.3</v>
      </c>
      <c r="E21" s="1">
        <v>5</v>
      </c>
      <c r="F21" s="1">
        <v>7.5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-0.25</v>
      </c>
      <c r="C33" s="3">
        <v>-0.43</v>
      </c>
      <c r="D33" s="3">
        <v>-1.28</v>
      </c>
      <c r="E33" s="3">
        <v>0.93</v>
      </c>
      <c r="F33" s="3">
        <v>7.78</v>
      </c>
      <c r="G33" s="3">
        <v>4.1399999999999997</v>
      </c>
    </row>
    <row r="35" spans="1:7" x14ac:dyDescent="0.25">
      <c r="A35" s="3" t="s">
        <v>36</v>
      </c>
      <c r="B35" s="3"/>
      <c r="C35" s="3"/>
      <c r="D35" s="3">
        <f>D33-C33</f>
        <v>-0.85000000000000009</v>
      </c>
      <c r="E35" s="3"/>
      <c r="F35" s="3">
        <f>F33-E33</f>
        <v>6.8500000000000005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2.21</v>
      </c>
      <c r="F37" s="3"/>
      <c r="G37" s="3">
        <f>G33-F33</f>
        <v>-3.6400000000000006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3421-0999-4A03-92F3-F65412158007}">
  <dimension ref="A1:G37"/>
  <sheetViews>
    <sheetView topLeftCell="A7" workbookViewId="0">
      <selection activeCell="J29" sqref="J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580.46</v>
      </c>
      <c r="C2" s="1">
        <v>557.20000000000005</v>
      </c>
      <c r="D2" s="1">
        <v>560.83000000000004</v>
      </c>
      <c r="E2" s="1">
        <v>540.14</v>
      </c>
      <c r="F2" s="1">
        <v>572.54999999999995</v>
      </c>
      <c r="G2" s="1">
        <v>526.29999999999995</v>
      </c>
    </row>
    <row r="3" spans="1:7" x14ac:dyDescent="0.25">
      <c r="A3" s="1" t="s">
        <v>7</v>
      </c>
      <c r="B3" s="1">
        <v>44.67</v>
      </c>
      <c r="C3" s="1">
        <v>44.64</v>
      </c>
      <c r="D3" s="1">
        <v>41.25</v>
      </c>
      <c r="E3" s="1">
        <v>47.67</v>
      </c>
      <c r="F3" s="1">
        <v>48.42</v>
      </c>
      <c r="G3" s="1">
        <v>48.9</v>
      </c>
    </row>
    <row r="4" spans="1:7" x14ac:dyDescent="0.25">
      <c r="A4" s="1" t="s">
        <v>8</v>
      </c>
      <c r="B4" s="1">
        <v>26368.71</v>
      </c>
      <c r="C4" s="1">
        <v>25271.78</v>
      </c>
      <c r="D4" s="1">
        <v>23531.86</v>
      </c>
      <c r="E4" s="1">
        <v>26176.67</v>
      </c>
      <c r="F4" s="1">
        <v>28182.73</v>
      </c>
      <c r="G4" s="1">
        <v>26156.87</v>
      </c>
    </row>
    <row r="5" spans="1:7" x14ac:dyDescent="0.25">
      <c r="A5" s="1" t="s">
        <v>9</v>
      </c>
      <c r="B5" s="1">
        <v>1154.22</v>
      </c>
      <c r="C5" s="1">
        <v>1178.6300000000001</v>
      </c>
      <c r="D5" s="1">
        <v>323.47000000000003</v>
      </c>
      <c r="E5" s="1">
        <v>775.35</v>
      </c>
      <c r="F5" s="1">
        <v>907.39</v>
      </c>
      <c r="G5" s="1">
        <v>760.12</v>
      </c>
    </row>
    <row r="6" spans="1:7" x14ac:dyDescent="0.25">
      <c r="A6" s="3" t="s">
        <v>10</v>
      </c>
      <c r="B6" s="3">
        <v>115.42</v>
      </c>
      <c r="C6" s="3">
        <v>119.05</v>
      </c>
      <c r="D6" s="3">
        <v>32.67</v>
      </c>
      <c r="E6" s="3">
        <v>78.319999999999993</v>
      </c>
      <c r="F6" s="3">
        <v>91.66</v>
      </c>
      <c r="G6" s="3">
        <v>77.56</v>
      </c>
    </row>
    <row r="7" spans="1:7" x14ac:dyDescent="0.25">
      <c r="A7" s="1" t="s">
        <v>11</v>
      </c>
      <c r="B7" s="1">
        <v>1098.44</v>
      </c>
      <c r="C7" s="1">
        <v>1128.3900000000001</v>
      </c>
      <c r="D7" s="1">
        <v>317.14999999999998</v>
      </c>
      <c r="E7" s="1">
        <v>744.7</v>
      </c>
      <c r="F7" s="1">
        <v>855.92</v>
      </c>
      <c r="G7" s="1">
        <v>650.97</v>
      </c>
    </row>
    <row r="8" spans="1:7" x14ac:dyDescent="0.25">
      <c r="A8" s="1" t="s">
        <v>12</v>
      </c>
      <c r="B8" s="1">
        <v>109.84</v>
      </c>
      <c r="C8" s="1">
        <v>113.98</v>
      </c>
      <c r="D8" s="1">
        <v>32.04</v>
      </c>
      <c r="E8" s="1">
        <v>75.22</v>
      </c>
      <c r="F8" s="1">
        <v>86.46</v>
      </c>
      <c r="G8" s="1">
        <v>66.430000000000007</v>
      </c>
    </row>
    <row r="9" spans="1:7" x14ac:dyDescent="0.25">
      <c r="A9" s="1" t="s">
        <v>13</v>
      </c>
      <c r="B9" s="1">
        <v>1098.44</v>
      </c>
      <c r="C9" s="1">
        <v>1128.3900000000001</v>
      </c>
      <c r="D9" s="1">
        <v>192.89</v>
      </c>
      <c r="E9" s="1">
        <v>744.7</v>
      </c>
      <c r="F9" s="1">
        <v>827.36</v>
      </c>
      <c r="G9" s="1">
        <v>526.07000000000005</v>
      </c>
    </row>
    <row r="10" spans="1:7" x14ac:dyDescent="0.25">
      <c r="A10" s="1" t="s">
        <v>14</v>
      </c>
      <c r="B10" s="1">
        <v>109.84</v>
      </c>
      <c r="C10" s="1">
        <v>113.98</v>
      </c>
      <c r="D10" s="1">
        <v>19.48</v>
      </c>
      <c r="E10" s="1">
        <v>75.22</v>
      </c>
      <c r="F10" s="1">
        <v>83.57</v>
      </c>
      <c r="G10" s="1">
        <v>53.68</v>
      </c>
    </row>
    <row r="11" spans="1:7" x14ac:dyDescent="0.25">
      <c r="A11" s="1" t="s">
        <v>15</v>
      </c>
      <c r="B11" s="1">
        <v>804.55</v>
      </c>
      <c r="C11" s="1">
        <v>696.59</v>
      </c>
      <c r="D11" s="1">
        <v>157.87</v>
      </c>
      <c r="E11" s="1">
        <v>560.44000000000005</v>
      </c>
      <c r="F11" s="1">
        <v>577.46</v>
      </c>
      <c r="G11" s="1">
        <v>160.51</v>
      </c>
    </row>
    <row r="12" spans="1:7" x14ac:dyDescent="0.25">
      <c r="A12" s="1" t="s">
        <v>16</v>
      </c>
      <c r="B12" s="1">
        <v>315.42</v>
      </c>
      <c r="C12" s="1">
        <v>282.73</v>
      </c>
      <c r="D12" s="1">
        <v>264.16000000000003</v>
      </c>
      <c r="E12" s="1">
        <v>261.25</v>
      </c>
      <c r="F12" s="1">
        <v>262.27</v>
      </c>
      <c r="G12" s="1">
        <v>206</v>
      </c>
    </row>
    <row r="13" spans="1:7" x14ac:dyDescent="0.25">
      <c r="A13" s="1" t="s">
        <v>17</v>
      </c>
      <c r="B13" s="1">
        <v>52.74</v>
      </c>
      <c r="C13" s="1">
        <v>47.76</v>
      </c>
      <c r="D13" s="1">
        <v>25.51</v>
      </c>
      <c r="E13" s="1">
        <v>49.8</v>
      </c>
      <c r="F13" s="1">
        <v>59</v>
      </c>
      <c r="G13" s="1">
        <v>62.42</v>
      </c>
    </row>
    <row r="14" spans="1:7" x14ac:dyDescent="0.25">
      <c r="A14" s="1" t="s">
        <v>18</v>
      </c>
      <c r="B14" s="1">
        <v>90.7</v>
      </c>
      <c r="C14" s="1">
        <v>96.85</v>
      </c>
      <c r="D14" s="1">
        <v>59.21</v>
      </c>
      <c r="E14" s="1">
        <v>100.43</v>
      </c>
      <c r="F14" s="1">
        <v>115.14</v>
      </c>
      <c r="G14" s="1">
        <v>106.72</v>
      </c>
    </row>
    <row r="15" spans="1:7" x14ac:dyDescent="0.25">
      <c r="A15" s="1" t="s">
        <v>19</v>
      </c>
      <c r="B15" s="1">
        <v>6</v>
      </c>
      <c r="C15" s="1">
        <v>4</v>
      </c>
      <c r="D15" s="1">
        <v>1</v>
      </c>
      <c r="E15" s="1">
        <v>3</v>
      </c>
      <c r="F15" s="1">
        <v>7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1098.44</v>
      </c>
      <c r="C17" s="1">
        <v>1128.3900000000001</v>
      </c>
      <c r="D17" s="1">
        <v>255.02</v>
      </c>
      <c r="E17" s="1">
        <v>744.7</v>
      </c>
      <c r="F17" s="1">
        <v>841.64</v>
      </c>
      <c r="G17" s="1">
        <v>588.52</v>
      </c>
    </row>
    <row r="18" spans="1:7" x14ac:dyDescent="0.25">
      <c r="A18" s="1" t="s">
        <v>22</v>
      </c>
      <c r="B18" s="1">
        <v>0</v>
      </c>
      <c r="C18" s="1">
        <v>0</v>
      </c>
      <c r="D18" s="1">
        <v>62.13</v>
      </c>
      <c r="E18" s="1">
        <v>0</v>
      </c>
      <c r="F18" s="1">
        <v>14.28</v>
      </c>
      <c r="G18" s="1">
        <v>62.45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2.4</v>
      </c>
      <c r="E20" s="1">
        <v>0</v>
      </c>
      <c r="F20" s="1">
        <v>0</v>
      </c>
      <c r="G20" s="1">
        <v>1.3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7.6</v>
      </c>
      <c r="E21" s="1">
        <v>10</v>
      </c>
      <c r="F21" s="1">
        <v>10</v>
      </c>
      <c r="G21" s="1">
        <v>8.6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6.6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3.4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65.999999999999986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34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113.43</v>
      </c>
      <c r="C33" s="3">
        <v>119.36</v>
      </c>
      <c r="D33" s="3">
        <v>19.920000000000002</v>
      </c>
      <c r="E33" s="3">
        <v>78.47</v>
      </c>
      <c r="F33" s="3">
        <v>87.02</v>
      </c>
      <c r="G33" s="3">
        <v>52.09</v>
      </c>
    </row>
    <row r="35" spans="1:7" x14ac:dyDescent="0.25">
      <c r="A35" s="3" t="s">
        <v>36</v>
      </c>
      <c r="B35" s="3"/>
      <c r="C35" s="3"/>
      <c r="D35" s="3">
        <f>D33-C33</f>
        <v>-99.44</v>
      </c>
      <c r="E35" s="3"/>
      <c r="F35" s="3">
        <f>F33-E33</f>
        <v>8.5499999999999972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58.55</v>
      </c>
      <c r="F37" s="3"/>
      <c r="G37" s="3">
        <f>G33-F33</f>
        <v>-34.929999999999993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0ADC-1F95-4FC0-B2D0-A0EFC98DD1FF}">
  <dimension ref="A1:G37"/>
  <sheetViews>
    <sheetView tabSelected="1" topLeftCell="A7" workbookViewId="0">
      <selection activeCell="I30" sqref="I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550.23</v>
      </c>
      <c r="C2" s="1">
        <v>565.9</v>
      </c>
      <c r="D2" s="1">
        <v>566.09</v>
      </c>
      <c r="E2" s="1">
        <v>536.92999999999995</v>
      </c>
      <c r="F2" s="1">
        <v>545.83000000000004</v>
      </c>
      <c r="G2" s="1">
        <v>519.79</v>
      </c>
    </row>
    <row r="3" spans="1:7" x14ac:dyDescent="0.25">
      <c r="A3" s="1" t="s">
        <v>7</v>
      </c>
      <c r="B3" s="1">
        <v>46.35</v>
      </c>
      <c r="C3" s="1">
        <v>45.87</v>
      </c>
      <c r="D3" s="1">
        <v>46.73</v>
      </c>
      <c r="E3" s="1">
        <v>49.8</v>
      </c>
      <c r="F3" s="1">
        <v>48.15</v>
      </c>
      <c r="G3" s="1">
        <v>45.39</v>
      </c>
    </row>
    <row r="4" spans="1:7" x14ac:dyDescent="0.25">
      <c r="A4" s="1" t="s">
        <v>8</v>
      </c>
      <c r="B4" s="1">
        <v>25927.81</v>
      </c>
      <c r="C4" s="1">
        <v>26409.52</v>
      </c>
      <c r="D4" s="1">
        <v>26904.58</v>
      </c>
      <c r="E4" s="1">
        <v>27147.61</v>
      </c>
      <c r="F4" s="1">
        <v>26656.42</v>
      </c>
      <c r="G4" s="1">
        <v>23997.53</v>
      </c>
    </row>
    <row r="5" spans="1:7" x14ac:dyDescent="0.25">
      <c r="A5" s="1" t="s">
        <v>9</v>
      </c>
      <c r="B5" s="1">
        <v>1846.74</v>
      </c>
      <c r="C5" s="1">
        <v>1110.9000000000001</v>
      </c>
      <c r="D5" s="1">
        <v>1153.82</v>
      </c>
      <c r="E5" s="1">
        <v>1186.5899999999999</v>
      </c>
      <c r="F5" s="1">
        <v>1033.69</v>
      </c>
      <c r="G5" s="1">
        <v>110.76</v>
      </c>
    </row>
    <row r="6" spans="1:7" x14ac:dyDescent="0.25">
      <c r="A6" s="3" t="s">
        <v>10</v>
      </c>
      <c r="B6" s="3">
        <v>184.67</v>
      </c>
      <c r="C6" s="3">
        <v>112.21</v>
      </c>
      <c r="D6" s="3">
        <v>116.55</v>
      </c>
      <c r="E6" s="3">
        <v>119.86</v>
      </c>
      <c r="F6" s="3">
        <v>104.41</v>
      </c>
      <c r="G6" s="3">
        <v>11.3</v>
      </c>
    </row>
    <row r="7" spans="1:7" x14ac:dyDescent="0.25">
      <c r="A7" s="1" t="s">
        <v>11</v>
      </c>
      <c r="B7" s="1">
        <v>1815.96</v>
      </c>
      <c r="C7" s="1">
        <v>1088.8</v>
      </c>
      <c r="D7" s="1">
        <v>1131.49</v>
      </c>
      <c r="E7" s="1">
        <v>1150.94</v>
      </c>
      <c r="F7" s="1">
        <v>1009.28</v>
      </c>
      <c r="G7" s="1">
        <v>102.25</v>
      </c>
    </row>
    <row r="8" spans="1:7" x14ac:dyDescent="0.25">
      <c r="A8" s="1" t="s">
        <v>12</v>
      </c>
      <c r="B8" s="1">
        <v>181.6</v>
      </c>
      <c r="C8" s="1">
        <v>109.98</v>
      </c>
      <c r="D8" s="1">
        <v>114.29</v>
      </c>
      <c r="E8" s="1">
        <v>116.26</v>
      </c>
      <c r="F8" s="1">
        <v>101.95</v>
      </c>
      <c r="G8" s="1">
        <v>10.43</v>
      </c>
    </row>
    <row r="9" spans="1:7" x14ac:dyDescent="0.25">
      <c r="A9" s="1" t="s">
        <v>13</v>
      </c>
      <c r="B9" s="1">
        <v>1815.96</v>
      </c>
      <c r="C9" s="1">
        <v>1088.8</v>
      </c>
      <c r="D9" s="1">
        <v>864.5</v>
      </c>
      <c r="E9" s="1">
        <v>1078.95</v>
      </c>
      <c r="F9" s="1">
        <v>1009.28</v>
      </c>
      <c r="G9" s="1">
        <v>8.59</v>
      </c>
    </row>
    <row r="10" spans="1:7" x14ac:dyDescent="0.25">
      <c r="A10" s="1" t="s">
        <v>14</v>
      </c>
      <c r="B10" s="1">
        <v>181.6</v>
      </c>
      <c r="C10" s="1">
        <v>109.98</v>
      </c>
      <c r="D10" s="1">
        <v>87.32</v>
      </c>
      <c r="E10" s="1">
        <v>108.98</v>
      </c>
      <c r="F10" s="1">
        <v>101.95</v>
      </c>
      <c r="G10" s="1">
        <v>0.88</v>
      </c>
    </row>
    <row r="11" spans="1:7" x14ac:dyDescent="0.25">
      <c r="A11" s="1" t="s">
        <v>15</v>
      </c>
      <c r="B11" s="1">
        <v>1187.18</v>
      </c>
      <c r="C11" s="1">
        <v>779.12</v>
      </c>
      <c r="D11" s="1">
        <v>681.08</v>
      </c>
      <c r="E11" s="1">
        <v>589.88</v>
      </c>
      <c r="F11" s="1">
        <v>615.59</v>
      </c>
      <c r="G11" s="1">
        <v>3.54</v>
      </c>
    </row>
    <row r="12" spans="1:7" x14ac:dyDescent="0.25">
      <c r="A12" s="1" t="s">
        <v>16</v>
      </c>
      <c r="B12" s="1">
        <v>294.12</v>
      </c>
      <c r="C12" s="1">
        <v>269.60000000000002</v>
      </c>
      <c r="D12" s="1">
        <v>274.23</v>
      </c>
      <c r="E12" s="1">
        <v>241.95</v>
      </c>
      <c r="F12" s="1">
        <v>268.27999999999997</v>
      </c>
      <c r="G12" s="1">
        <v>309.39999999999998</v>
      </c>
    </row>
    <row r="13" spans="1:7" x14ac:dyDescent="0.25">
      <c r="A13" s="1" t="s">
        <v>17</v>
      </c>
      <c r="B13" s="1">
        <v>56.42</v>
      </c>
      <c r="C13" s="1">
        <v>51.09</v>
      </c>
      <c r="D13" s="1">
        <v>48.23</v>
      </c>
      <c r="E13" s="1">
        <v>42.99</v>
      </c>
      <c r="F13" s="1">
        <v>43.17</v>
      </c>
      <c r="G13" s="1">
        <v>5.79</v>
      </c>
    </row>
    <row r="14" spans="1:7" x14ac:dyDescent="0.25">
      <c r="A14" s="1" t="s">
        <v>18</v>
      </c>
      <c r="B14" s="1">
        <v>101.24</v>
      </c>
      <c r="C14" s="1">
        <v>100.53</v>
      </c>
      <c r="D14" s="1">
        <v>101.06</v>
      </c>
      <c r="E14" s="1">
        <v>102.94</v>
      </c>
      <c r="F14" s="1">
        <v>105.75</v>
      </c>
      <c r="G14" s="1">
        <v>9.51</v>
      </c>
    </row>
    <row r="15" spans="1:7" x14ac:dyDescent="0.25">
      <c r="A15" s="1" t="s">
        <v>19</v>
      </c>
      <c r="B15" s="1">
        <v>8</v>
      </c>
      <c r="C15" s="1">
        <v>7</v>
      </c>
      <c r="D15" s="1">
        <v>5</v>
      </c>
      <c r="E15" s="1">
        <v>6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1815.96</v>
      </c>
      <c r="C17" s="1">
        <v>1088.8</v>
      </c>
      <c r="D17" s="1">
        <v>998</v>
      </c>
      <c r="E17" s="1">
        <v>1114.95</v>
      </c>
      <c r="F17" s="1">
        <v>1009.28</v>
      </c>
      <c r="G17" s="1">
        <v>55.42</v>
      </c>
    </row>
    <row r="18" spans="1:7" x14ac:dyDescent="0.25">
      <c r="A18" s="1" t="s">
        <v>22</v>
      </c>
      <c r="B18" s="1">
        <v>0</v>
      </c>
      <c r="C18" s="1">
        <v>0</v>
      </c>
      <c r="D18" s="1">
        <v>133.49</v>
      </c>
      <c r="E18" s="1">
        <v>36</v>
      </c>
      <c r="F18" s="1">
        <v>0</v>
      </c>
      <c r="G18" s="1">
        <v>46.83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2.1</v>
      </c>
      <c r="E20" s="1">
        <v>0</v>
      </c>
      <c r="F20" s="1">
        <v>0</v>
      </c>
      <c r="G20" s="1">
        <v>1.4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7.9</v>
      </c>
      <c r="E21" s="1">
        <v>10</v>
      </c>
      <c r="F21" s="1">
        <v>10</v>
      </c>
      <c r="G21" s="1">
        <v>8.5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2.6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9.9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7.4</v>
      </c>
      <c r="E26" s="1">
        <v>9</v>
      </c>
      <c r="F26" s="1">
        <v>10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26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</v>
      </c>
      <c r="F30" s="3">
        <f t="shared" si="2"/>
        <v>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74</v>
      </c>
      <c r="E31" s="3">
        <f t="shared" si="3"/>
        <v>90</v>
      </c>
      <c r="F31" s="3">
        <f t="shared" si="3"/>
        <v>100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182.07</v>
      </c>
      <c r="C33" s="3">
        <v>112.75</v>
      </c>
      <c r="D33" s="3">
        <v>80.8</v>
      </c>
      <c r="E33" s="3">
        <v>111.88</v>
      </c>
      <c r="F33" s="3">
        <v>103.24</v>
      </c>
      <c r="G33" s="3">
        <v>-0.24</v>
      </c>
    </row>
    <row r="35" spans="1:7" x14ac:dyDescent="0.25">
      <c r="A35" s="3" t="s">
        <v>36</v>
      </c>
      <c r="B35" s="3"/>
      <c r="C35" s="3"/>
      <c r="D35" s="3">
        <f>D33-C33</f>
        <v>-31.950000000000003</v>
      </c>
      <c r="E35" s="3"/>
      <c r="F35" s="3">
        <f>F33-E33</f>
        <v>-8.64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31.08</v>
      </c>
      <c r="F37" s="3"/>
      <c r="G37" s="3">
        <f>G33-F33</f>
        <v>-103.47999999999999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086C-C572-4542-BF73-7BB954C545DA}">
  <dimension ref="A1:G37"/>
  <sheetViews>
    <sheetView workbookViewId="0">
      <selection activeCell="K18" sqref="K1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240116C001.1</vt:lpstr>
      <vt:lpstr>240116C001.2</vt:lpstr>
      <vt:lpstr>240116C002.1</vt:lpstr>
      <vt:lpstr>240116C002.3</vt:lpstr>
      <vt:lpstr>240116C002.4</vt:lpstr>
      <vt:lpstr>240116C002.5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2024-01-25T20:52:15Z</dcterms:created>
  <dcterms:modified xsi:type="dcterms:W3CDTF">2024-01-25T21:51:34Z</dcterms:modified>
</cp:coreProperties>
</file>