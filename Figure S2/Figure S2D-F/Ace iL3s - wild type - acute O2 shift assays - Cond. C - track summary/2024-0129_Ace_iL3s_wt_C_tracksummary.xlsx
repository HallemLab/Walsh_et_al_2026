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29\WormLab Data\"/>
    </mc:Choice>
  </mc:AlternateContent>
  <xr:revisionPtr revIDLastSave="0" documentId="13_ncr:1_{314947C6-144C-433C-8260-15FB8464F968}" xr6:coauthVersionLast="36" xr6:coauthVersionMax="36" xr10:uidLastSave="{00000000-0000-0000-0000-000000000000}"/>
  <bookViews>
    <workbookView xWindow="0" yWindow="0" windowWidth="24225" windowHeight="10995" firstSheet="1" activeTab="7" xr2:uid="{93B5C254-E031-4F77-A1F6-6EFDF1C54292}"/>
  </bookViews>
  <sheets>
    <sheet name="240129C002.1" sheetId="2" r:id="rId1"/>
    <sheet name="240129C002.2" sheetId="3" r:id="rId2"/>
    <sheet name="240129C002.3" sheetId="4" r:id="rId3"/>
    <sheet name="240129C003.1" sheetId="5" r:id="rId4"/>
    <sheet name="240129C003.2" sheetId="6" r:id="rId5"/>
    <sheet name="240129C003.3" sheetId="7" r:id="rId6"/>
    <sheet name="240129C003.4" sheetId="8" r:id="rId7"/>
    <sheet name="240129C003.5" sheetId="9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9" l="1"/>
  <c r="E37" i="9"/>
  <c r="C37" i="9"/>
  <c r="F35" i="9"/>
  <c r="D35" i="9"/>
  <c r="F31" i="9"/>
  <c r="E31" i="9"/>
  <c r="D31" i="9"/>
  <c r="C31" i="9"/>
  <c r="B31" i="9"/>
  <c r="F30" i="9"/>
  <c r="E30" i="9"/>
  <c r="D30" i="9"/>
  <c r="C30" i="9"/>
  <c r="B30" i="9"/>
  <c r="F29" i="9"/>
  <c r="G28" i="9"/>
  <c r="G29" i="9" s="1"/>
  <c r="F28" i="9"/>
  <c r="E28" i="9"/>
  <c r="E29" i="9" s="1"/>
  <c r="D28" i="9"/>
  <c r="D29" i="9" s="1"/>
  <c r="C28" i="9"/>
  <c r="C29" i="9" s="1"/>
  <c r="B28" i="9"/>
  <c r="B29" i="9" s="1"/>
  <c r="G37" i="8"/>
  <c r="E37" i="8"/>
  <c r="C37" i="8"/>
  <c r="F35" i="8"/>
  <c r="D35" i="8"/>
  <c r="G28" i="8"/>
  <c r="G31" i="8" s="1"/>
  <c r="F28" i="8"/>
  <c r="F31" i="8" s="1"/>
  <c r="E28" i="8"/>
  <c r="E30" i="8" s="1"/>
  <c r="D28" i="8"/>
  <c r="D29" i="8" s="1"/>
  <c r="C28" i="8"/>
  <c r="C29" i="8" s="1"/>
  <c r="B28" i="8"/>
  <c r="B29" i="8" s="1"/>
  <c r="G37" i="7"/>
  <c r="E37" i="7"/>
  <c r="C37" i="7"/>
  <c r="F35" i="7"/>
  <c r="D35" i="7"/>
  <c r="B31" i="7"/>
  <c r="B30" i="7"/>
  <c r="D29" i="7"/>
  <c r="G28" i="7"/>
  <c r="G30" i="7" s="1"/>
  <c r="F28" i="7"/>
  <c r="F29" i="7" s="1"/>
  <c r="E28" i="7"/>
  <c r="E30" i="7" s="1"/>
  <c r="D28" i="7"/>
  <c r="D31" i="7" s="1"/>
  <c r="C28" i="7"/>
  <c r="C31" i="7" s="1"/>
  <c r="B28" i="7"/>
  <c r="B29" i="7" s="1"/>
  <c r="B30" i="6"/>
  <c r="G37" i="6"/>
  <c r="E37" i="6"/>
  <c r="C37" i="6"/>
  <c r="F35" i="6"/>
  <c r="D35" i="6"/>
  <c r="F31" i="6"/>
  <c r="E31" i="6"/>
  <c r="D31" i="6"/>
  <c r="C31" i="6"/>
  <c r="B31" i="6"/>
  <c r="G30" i="6"/>
  <c r="F30" i="6"/>
  <c r="E30" i="6"/>
  <c r="D30" i="6"/>
  <c r="C30" i="6"/>
  <c r="F29" i="6"/>
  <c r="E29" i="6"/>
  <c r="G28" i="6"/>
  <c r="G31" i="6" s="1"/>
  <c r="F28" i="6"/>
  <c r="E28" i="6"/>
  <c r="D28" i="6"/>
  <c r="D29" i="6" s="1"/>
  <c r="C28" i="6"/>
  <c r="C29" i="6" s="1"/>
  <c r="B28" i="6"/>
  <c r="B29" i="6" s="1"/>
  <c r="G31" i="9" l="1"/>
  <c r="G30" i="9"/>
  <c r="F29" i="8"/>
  <c r="G30" i="8"/>
  <c r="G29" i="8"/>
  <c r="C30" i="8"/>
  <c r="D30" i="8"/>
  <c r="F30" i="8"/>
  <c r="B30" i="8"/>
  <c r="D31" i="8"/>
  <c r="C31" i="8"/>
  <c r="E31" i="8"/>
  <c r="B31" i="8"/>
  <c r="E29" i="8"/>
  <c r="C29" i="7"/>
  <c r="E29" i="7"/>
  <c r="F30" i="7"/>
  <c r="E31" i="7"/>
  <c r="F31" i="7"/>
  <c r="G29" i="7"/>
  <c r="G31" i="7"/>
  <c r="C30" i="7"/>
  <c r="D30" i="7"/>
  <c r="G29" i="6"/>
  <c r="G37" i="5"/>
  <c r="E37" i="5"/>
  <c r="C37" i="5"/>
  <c r="F35" i="5"/>
  <c r="D35" i="5"/>
  <c r="F31" i="5"/>
  <c r="E31" i="5"/>
  <c r="C31" i="5"/>
  <c r="B31" i="5"/>
  <c r="G30" i="5"/>
  <c r="F30" i="5"/>
  <c r="E30" i="5"/>
  <c r="D30" i="5"/>
  <c r="C30" i="5"/>
  <c r="B30" i="5"/>
  <c r="G29" i="5"/>
  <c r="F29" i="5"/>
  <c r="E29" i="5"/>
  <c r="G28" i="5"/>
  <c r="G31" i="5" s="1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G28" i="4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G28" i="3"/>
  <c r="G29" i="3" s="1"/>
  <c r="F28" i="3"/>
  <c r="F29" i="3" s="1"/>
  <c r="E28" i="3"/>
  <c r="E29" i="3" s="1"/>
  <c r="D28" i="3"/>
  <c r="D29" i="3" s="1"/>
  <c r="C28" i="3"/>
  <c r="C30" i="3" s="1"/>
  <c r="B28" i="3"/>
  <c r="B30" i="3" s="1"/>
  <c r="G37" i="2"/>
  <c r="E37" i="2"/>
  <c r="C37" i="2"/>
  <c r="F35" i="2"/>
  <c r="D35" i="2"/>
  <c r="G31" i="2"/>
  <c r="F31" i="2"/>
  <c r="E31" i="2"/>
  <c r="D31" i="2"/>
  <c r="B31" i="2"/>
  <c r="G30" i="2"/>
  <c r="F30" i="2"/>
  <c r="E30" i="2"/>
  <c r="D30" i="2"/>
  <c r="C30" i="2"/>
  <c r="B30" i="2"/>
  <c r="G29" i="2"/>
  <c r="F29" i="2"/>
  <c r="E29" i="2"/>
  <c r="G28" i="2"/>
  <c r="F28" i="2"/>
  <c r="E28" i="2"/>
  <c r="D28" i="2"/>
  <c r="D29" i="2" s="1"/>
  <c r="C28" i="2"/>
  <c r="C29" i="2" s="1"/>
  <c r="B28" i="2"/>
  <c r="B29" i="2" s="1"/>
  <c r="D31" i="5" l="1"/>
  <c r="G30" i="3"/>
  <c r="E30" i="3"/>
  <c r="C31" i="3"/>
  <c r="F31" i="3"/>
  <c r="D30" i="3"/>
  <c r="F30" i="3"/>
  <c r="B31" i="3"/>
  <c r="D31" i="3"/>
  <c r="E31" i="3"/>
  <c r="G31" i="3"/>
  <c r="C29" i="3"/>
  <c r="B29" i="3"/>
  <c r="C31" i="2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</calcChain>
</file>

<file path=xl/sharedStrings.xml><?xml version="1.0" encoding="utf-8"?>
<sst xmlns="http://schemas.openxmlformats.org/spreadsheetml/2006/main" count="342" uniqueCount="37">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</sst>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D276-3027-44C6-BBE0-3A995B1F4C52}">
  <dimension ref="A1:G37"/>
  <sheetViews>
    <sheetView topLeftCell="A13" workbookViewId="0">
      <selection activeCell="A43" sqref="A4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551.04999999999995</v>
      </c>
      <c r="C2" s="1">
        <v>491.91</v>
      </c>
      <c r="D2" s="1">
        <v>493.02</v>
      </c>
      <c r="E2" s="1">
        <v>554.04</v>
      </c>
      <c r="F2" s="1">
        <v>564.84</v>
      </c>
      <c r="G2" s="1">
        <v>589.26</v>
      </c>
    </row>
    <row r="3" spans="1:7" x14ac:dyDescent="0.25">
      <c r="A3" s="1" t="s">
        <v>7</v>
      </c>
      <c r="B3" s="1">
        <v>51.47</v>
      </c>
      <c r="C3" s="1">
        <v>43.12</v>
      </c>
      <c r="D3" s="1">
        <v>42.95</v>
      </c>
      <c r="E3" s="1">
        <v>51.96</v>
      </c>
      <c r="F3" s="1">
        <v>51.15</v>
      </c>
      <c r="G3" s="1">
        <v>48.29</v>
      </c>
    </row>
    <row r="4" spans="1:7" x14ac:dyDescent="0.25">
      <c r="A4" s="1" t="s">
        <v>8</v>
      </c>
      <c r="B4" s="1">
        <v>28819.02</v>
      </c>
      <c r="C4" s="1">
        <v>21577.4</v>
      </c>
      <c r="D4" s="1">
        <v>21538.65</v>
      </c>
      <c r="E4" s="1">
        <v>29315.360000000001</v>
      </c>
      <c r="F4" s="1">
        <v>29389.59</v>
      </c>
      <c r="G4" s="1">
        <v>28948.6</v>
      </c>
    </row>
    <row r="5" spans="1:7" x14ac:dyDescent="0.25">
      <c r="A5" s="1" t="s">
        <v>9</v>
      </c>
      <c r="B5" s="1">
        <v>747.51</v>
      </c>
      <c r="C5" s="1">
        <v>124.38</v>
      </c>
      <c r="D5" s="1">
        <v>105.99</v>
      </c>
      <c r="E5" s="1">
        <v>124.48</v>
      </c>
      <c r="F5" s="1">
        <v>219.08</v>
      </c>
      <c r="G5" s="1">
        <v>237</v>
      </c>
    </row>
    <row r="6" spans="1:7" x14ac:dyDescent="0.25">
      <c r="A6" s="3" t="s">
        <v>10</v>
      </c>
      <c r="B6" s="3">
        <v>74.75</v>
      </c>
      <c r="C6" s="3">
        <v>12.56</v>
      </c>
      <c r="D6" s="3">
        <v>10.71</v>
      </c>
      <c r="E6" s="3">
        <v>12.57</v>
      </c>
      <c r="F6" s="3">
        <v>22.13</v>
      </c>
      <c r="G6" s="3">
        <v>24.18</v>
      </c>
    </row>
    <row r="7" spans="1:7" x14ac:dyDescent="0.25">
      <c r="A7" s="1" t="s">
        <v>11</v>
      </c>
      <c r="B7" s="1">
        <v>731.28</v>
      </c>
      <c r="C7" s="1">
        <v>120.98</v>
      </c>
      <c r="D7" s="1">
        <v>102.6</v>
      </c>
      <c r="E7" s="1">
        <v>115.8</v>
      </c>
      <c r="F7" s="1">
        <v>210.26</v>
      </c>
      <c r="G7" s="1">
        <v>231.54</v>
      </c>
    </row>
    <row r="8" spans="1:7" x14ac:dyDescent="0.25">
      <c r="A8" s="1" t="s">
        <v>12</v>
      </c>
      <c r="B8" s="1">
        <v>73.13</v>
      </c>
      <c r="C8" s="1">
        <v>12.22</v>
      </c>
      <c r="D8" s="1">
        <v>10.36</v>
      </c>
      <c r="E8" s="1">
        <v>11.7</v>
      </c>
      <c r="F8" s="1">
        <v>21.24</v>
      </c>
      <c r="G8" s="1">
        <v>23.63</v>
      </c>
    </row>
    <row r="9" spans="1:7" x14ac:dyDescent="0.25">
      <c r="A9" s="1" t="s">
        <v>13</v>
      </c>
      <c r="B9" s="1">
        <v>730.69</v>
      </c>
      <c r="C9" s="1">
        <v>11.66</v>
      </c>
      <c r="D9" s="1">
        <v>-13.98</v>
      </c>
      <c r="E9" s="1">
        <v>52.1</v>
      </c>
      <c r="F9" s="1">
        <v>181.21</v>
      </c>
      <c r="G9" s="1">
        <v>211.65</v>
      </c>
    </row>
    <row r="10" spans="1:7" x14ac:dyDescent="0.25">
      <c r="A10" s="1" t="s">
        <v>14</v>
      </c>
      <c r="B10" s="1">
        <v>73.069999999999993</v>
      </c>
      <c r="C10" s="1">
        <v>1.18</v>
      </c>
      <c r="D10" s="1">
        <v>-1.41</v>
      </c>
      <c r="E10" s="1">
        <v>5.26</v>
      </c>
      <c r="F10" s="1">
        <v>18.3</v>
      </c>
      <c r="G10" s="1">
        <v>21.6</v>
      </c>
    </row>
    <row r="11" spans="1:7" x14ac:dyDescent="0.25">
      <c r="A11" s="1" t="s">
        <v>15</v>
      </c>
      <c r="B11" s="1">
        <v>541.71</v>
      </c>
      <c r="C11" s="1">
        <v>1.74</v>
      </c>
      <c r="D11" s="1">
        <v>4.68</v>
      </c>
      <c r="E11" s="1">
        <v>16.75</v>
      </c>
      <c r="F11" s="1">
        <v>148.4</v>
      </c>
      <c r="G11" s="1">
        <v>188.7</v>
      </c>
    </row>
    <row r="12" spans="1:7" x14ac:dyDescent="0.25">
      <c r="A12" s="1" t="s">
        <v>16</v>
      </c>
      <c r="B12" s="1">
        <v>276.38</v>
      </c>
      <c r="C12" s="1">
        <v>354.75</v>
      </c>
      <c r="D12" s="1">
        <v>345.25</v>
      </c>
      <c r="E12" s="1">
        <v>254.95</v>
      </c>
      <c r="F12" s="1">
        <v>261.73</v>
      </c>
      <c r="G12" s="1">
        <v>284.57</v>
      </c>
    </row>
    <row r="13" spans="1:7" x14ac:dyDescent="0.25">
      <c r="A13" s="1" t="s">
        <v>17</v>
      </c>
      <c r="B13" s="1">
        <v>37.68</v>
      </c>
      <c r="C13" s="1">
        <v>7.13</v>
      </c>
      <c r="D13" s="1">
        <v>6.91</v>
      </c>
      <c r="E13" s="1">
        <v>21.71</v>
      </c>
      <c r="F13" s="1">
        <v>52.42</v>
      </c>
      <c r="G13" s="1">
        <v>27.67</v>
      </c>
    </row>
    <row r="14" spans="1:7" x14ac:dyDescent="0.25">
      <c r="A14" s="1" t="s">
        <v>18</v>
      </c>
      <c r="B14" s="1">
        <v>84.7</v>
      </c>
      <c r="C14" s="1">
        <v>16.64</v>
      </c>
      <c r="D14" s="1">
        <v>16.62</v>
      </c>
      <c r="E14" s="1">
        <v>50.66</v>
      </c>
      <c r="F14" s="1">
        <v>104.77</v>
      </c>
      <c r="G14" s="1">
        <v>51.96</v>
      </c>
    </row>
    <row r="15" spans="1:7" x14ac:dyDescent="0.25">
      <c r="A15" s="1" t="s">
        <v>19</v>
      </c>
      <c r="B15" s="1">
        <v>3</v>
      </c>
      <c r="C15" s="1">
        <v>1</v>
      </c>
      <c r="D15" s="1">
        <v>1</v>
      </c>
      <c r="E15" s="1">
        <v>1</v>
      </c>
      <c r="F15" s="1">
        <v>2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730.99</v>
      </c>
      <c r="C17" s="1">
        <v>66.319999999999993</v>
      </c>
      <c r="D17" s="1">
        <v>44.31</v>
      </c>
      <c r="E17" s="1">
        <v>83.95</v>
      </c>
      <c r="F17" s="1">
        <v>195.74</v>
      </c>
      <c r="G17" s="1">
        <v>221.6</v>
      </c>
    </row>
    <row r="18" spans="1:7" x14ac:dyDescent="0.25">
      <c r="A18" s="1" t="s">
        <v>22</v>
      </c>
      <c r="B18" s="1">
        <v>0.28999999999999998</v>
      </c>
      <c r="C18" s="1">
        <v>54.66</v>
      </c>
      <c r="D18" s="1">
        <v>58.29</v>
      </c>
      <c r="E18" s="1">
        <v>31.85</v>
      </c>
      <c r="F18" s="1">
        <v>14.53</v>
      </c>
      <c r="G18" s="1">
        <v>9.9499999999999993</v>
      </c>
    </row>
    <row r="19" spans="1:7" x14ac:dyDescent="0.25">
      <c r="A19" s="1" t="s">
        <v>23</v>
      </c>
      <c r="B19" s="1">
        <v>0</v>
      </c>
      <c r="C19" s="1">
        <v>2</v>
      </c>
      <c r="D19" s="1">
        <v>1</v>
      </c>
      <c r="E19" s="1">
        <v>2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2.4</v>
      </c>
      <c r="D20" s="1">
        <v>1.2</v>
      </c>
      <c r="E20" s="1">
        <v>4.4000000000000004</v>
      </c>
      <c r="F20" s="1">
        <v>1.6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7.6</v>
      </c>
      <c r="D21" s="1">
        <v>8.8000000000000007</v>
      </c>
      <c r="E21" s="1">
        <v>5.6</v>
      </c>
      <c r="F21" s="1">
        <v>8.4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10</v>
      </c>
      <c r="D25" s="1">
        <v>10</v>
      </c>
      <c r="E25" s="1">
        <v>10</v>
      </c>
      <c r="F25" s="1">
        <v>6.8</v>
      </c>
      <c r="G25" s="1">
        <v>8.9</v>
      </c>
    </row>
    <row r="26" spans="1:7" x14ac:dyDescent="0.25">
      <c r="A26" s="1" t="s">
        <v>30</v>
      </c>
      <c r="B26" s="1">
        <v>10.1</v>
      </c>
      <c r="C26" s="1">
        <v>0</v>
      </c>
      <c r="D26" s="1">
        <v>0</v>
      </c>
      <c r="E26" s="1">
        <v>0</v>
      </c>
      <c r="F26" s="1">
        <v>3.2</v>
      </c>
      <c r="G26" s="1">
        <v>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68</v>
      </c>
      <c r="G30" s="3">
        <f t="shared" si="2"/>
        <v>89.898989898989896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32</v>
      </c>
      <c r="G31" s="3">
        <f t="shared" si="3"/>
        <v>10.1010101010101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74.95</v>
      </c>
      <c r="C33" s="3">
        <v>0</v>
      </c>
      <c r="D33" s="3">
        <v>-0.35</v>
      </c>
      <c r="E33" s="3">
        <v>1.27</v>
      </c>
      <c r="F33" s="3">
        <v>16.02</v>
      </c>
      <c r="G33" s="3">
        <v>20.94</v>
      </c>
    </row>
    <row r="35" spans="1:7" x14ac:dyDescent="0.25">
      <c r="A35" s="3" t="s">
        <v>36</v>
      </c>
      <c r="B35" s="3"/>
      <c r="C35" s="3"/>
      <c r="D35" s="3">
        <f>D33-C33</f>
        <v>-0.35</v>
      </c>
      <c r="E35" s="3"/>
      <c r="F35" s="3">
        <f>F33-E33</f>
        <v>14.75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1.62</v>
      </c>
      <c r="F37" s="3"/>
      <c r="G37" s="3">
        <f>G33-F33</f>
        <v>4.9200000000000017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7E3F-087A-4B3C-9E6C-80501731F719}">
  <dimension ref="A1:G37"/>
  <sheetViews>
    <sheetView topLeftCell="A13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534.19000000000005</v>
      </c>
      <c r="C2" s="1">
        <v>537.25</v>
      </c>
      <c r="D2" s="1">
        <v>558.91</v>
      </c>
      <c r="E2" s="1">
        <v>557.58000000000004</v>
      </c>
      <c r="F2" s="1">
        <v>548.72</v>
      </c>
      <c r="G2" s="1">
        <v>588.95000000000005</v>
      </c>
    </row>
    <row r="3" spans="1:7" x14ac:dyDescent="0.25">
      <c r="A3" s="1" t="s">
        <v>7</v>
      </c>
      <c r="B3" s="1">
        <v>46.09</v>
      </c>
      <c r="C3" s="1">
        <v>49.09</v>
      </c>
      <c r="D3" s="1">
        <v>49.68</v>
      </c>
      <c r="E3" s="1">
        <v>54.37</v>
      </c>
      <c r="F3" s="1">
        <v>55.12</v>
      </c>
      <c r="G3" s="1">
        <v>67.75</v>
      </c>
    </row>
    <row r="4" spans="1:7" x14ac:dyDescent="0.25">
      <c r="A4" s="1" t="s">
        <v>8</v>
      </c>
      <c r="B4" s="1">
        <v>25036.2</v>
      </c>
      <c r="C4" s="1">
        <v>26850.15</v>
      </c>
      <c r="D4" s="1">
        <v>28241.98</v>
      </c>
      <c r="E4" s="1">
        <v>30834.68</v>
      </c>
      <c r="F4" s="1">
        <v>30768.62</v>
      </c>
      <c r="G4" s="1">
        <v>40598.17</v>
      </c>
    </row>
    <row r="5" spans="1:7" x14ac:dyDescent="0.25">
      <c r="A5" s="1" t="s">
        <v>9</v>
      </c>
      <c r="B5" s="1">
        <v>1040.74</v>
      </c>
      <c r="C5" s="1">
        <v>973.62</v>
      </c>
      <c r="D5" s="1">
        <v>534.35</v>
      </c>
      <c r="E5" s="1">
        <v>826.3</v>
      </c>
      <c r="F5" s="1">
        <v>1005.73</v>
      </c>
      <c r="G5" s="1">
        <v>1174.08</v>
      </c>
    </row>
    <row r="6" spans="1:7" x14ac:dyDescent="0.25">
      <c r="A6" s="3" t="s">
        <v>10</v>
      </c>
      <c r="B6" s="3">
        <v>104.07</v>
      </c>
      <c r="C6" s="3">
        <v>98.35</v>
      </c>
      <c r="D6" s="3">
        <v>53.97</v>
      </c>
      <c r="E6" s="3">
        <v>83.46</v>
      </c>
      <c r="F6" s="3">
        <v>101.59</v>
      </c>
      <c r="G6" s="3">
        <v>119.8</v>
      </c>
    </row>
    <row r="7" spans="1:7" x14ac:dyDescent="0.25">
      <c r="A7" s="1" t="s">
        <v>11</v>
      </c>
      <c r="B7" s="1">
        <v>1032.74</v>
      </c>
      <c r="C7" s="1">
        <v>965.83</v>
      </c>
      <c r="D7" s="1">
        <v>530.24</v>
      </c>
      <c r="E7" s="1">
        <v>816.86</v>
      </c>
      <c r="F7" s="1">
        <v>998.74</v>
      </c>
      <c r="G7" s="1">
        <v>1164.08</v>
      </c>
    </row>
    <row r="8" spans="1:7" x14ac:dyDescent="0.25">
      <c r="A8" s="1" t="s">
        <v>12</v>
      </c>
      <c r="B8" s="1">
        <v>103.27</v>
      </c>
      <c r="C8" s="1">
        <v>97.56</v>
      </c>
      <c r="D8" s="1">
        <v>53.56</v>
      </c>
      <c r="E8" s="1">
        <v>82.51</v>
      </c>
      <c r="F8" s="1">
        <v>100.88</v>
      </c>
      <c r="G8" s="1">
        <v>118.78</v>
      </c>
    </row>
    <row r="9" spans="1:7" x14ac:dyDescent="0.25">
      <c r="A9" s="1" t="s">
        <v>13</v>
      </c>
      <c r="B9" s="1">
        <v>1032.74</v>
      </c>
      <c r="C9" s="1">
        <v>965.83</v>
      </c>
      <c r="D9" s="1">
        <v>371.52</v>
      </c>
      <c r="E9" s="1">
        <v>816.86</v>
      </c>
      <c r="F9" s="1">
        <v>998.74</v>
      </c>
      <c r="G9" s="1">
        <v>1164.08</v>
      </c>
    </row>
    <row r="10" spans="1:7" x14ac:dyDescent="0.25">
      <c r="A10" s="1" t="s">
        <v>14</v>
      </c>
      <c r="B10" s="1">
        <v>103.27</v>
      </c>
      <c r="C10" s="1">
        <v>97.56</v>
      </c>
      <c r="D10" s="1">
        <v>37.53</v>
      </c>
      <c r="E10" s="1">
        <v>82.51</v>
      </c>
      <c r="F10" s="1">
        <v>100.88</v>
      </c>
      <c r="G10" s="1">
        <v>118.78</v>
      </c>
    </row>
    <row r="11" spans="1:7" x14ac:dyDescent="0.25">
      <c r="A11" s="1" t="s">
        <v>15</v>
      </c>
      <c r="B11" s="1">
        <v>851.27</v>
      </c>
      <c r="C11" s="1">
        <v>786.63</v>
      </c>
      <c r="D11" s="1">
        <v>308.22000000000003</v>
      </c>
      <c r="E11" s="1">
        <v>596.42999999999995</v>
      </c>
      <c r="F11" s="1">
        <v>769.22</v>
      </c>
      <c r="G11" s="1">
        <v>964.42</v>
      </c>
    </row>
    <row r="12" spans="1:7" x14ac:dyDescent="0.25">
      <c r="A12" s="1" t="s">
        <v>16</v>
      </c>
      <c r="B12" s="1">
        <v>287.55</v>
      </c>
      <c r="C12" s="1">
        <v>270.99</v>
      </c>
      <c r="D12" s="1">
        <v>279.39</v>
      </c>
      <c r="E12" s="1">
        <v>255.86</v>
      </c>
      <c r="F12" s="1">
        <v>274.93</v>
      </c>
      <c r="G12" s="1">
        <v>283.86</v>
      </c>
    </row>
    <row r="13" spans="1:7" x14ac:dyDescent="0.25">
      <c r="A13" s="1" t="s">
        <v>17</v>
      </c>
      <c r="B13" s="1">
        <v>35.1</v>
      </c>
      <c r="C13" s="1">
        <v>34.11</v>
      </c>
      <c r="D13" s="1">
        <v>31.79</v>
      </c>
      <c r="E13" s="1">
        <v>37.229999999999997</v>
      </c>
      <c r="F13" s="1">
        <v>44.19</v>
      </c>
      <c r="G13" s="1">
        <v>35.17</v>
      </c>
    </row>
    <row r="14" spans="1:7" x14ac:dyDescent="0.25">
      <c r="A14" s="1" t="s">
        <v>18</v>
      </c>
      <c r="B14" s="1">
        <v>62.45</v>
      </c>
      <c r="C14" s="1">
        <v>60.03</v>
      </c>
      <c r="D14" s="1">
        <v>59.97</v>
      </c>
      <c r="E14" s="1">
        <v>77.319999999999993</v>
      </c>
      <c r="F14" s="1">
        <v>81.17</v>
      </c>
      <c r="G14" s="1">
        <v>76.61</v>
      </c>
    </row>
    <row r="15" spans="1:7" x14ac:dyDescent="0.25">
      <c r="A15" s="1" t="s">
        <v>19</v>
      </c>
      <c r="B15" s="1">
        <v>6</v>
      </c>
      <c r="C15" s="1">
        <v>6</v>
      </c>
      <c r="D15" s="1">
        <v>2</v>
      </c>
      <c r="E15" s="1">
        <v>5</v>
      </c>
      <c r="F15" s="1">
        <v>4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1032.74</v>
      </c>
      <c r="C17" s="1">
        <v>965.83</v>
      </c>
      <c r="D17" s="1">
        <v>450.88</v>
      </c>
      <c r="E17" s="1">
        <v>816.86</v>
      </c>
      <c r="F17" s="1">
        <v>998.74</v>
      </c>
      <c r="G17" s="1">
        <v>1164.08</v>
      </c>
    </row>
    <row r="18" spans="1:7" x14ac:dyDescent="0.25">
      <c r="A18" s="1" t="s">
        <v>22</v>
      </c>
      <c r="B18" s="1">
        <v>0</v>
      </c>
      <c r="C18" s="1">
        <v>0</v>
      </c>
      <c r="D18" s="1">
        <v>79.36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2.1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7.9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1.3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2.5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6.2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13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25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62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102.39</v>
      </c>
      <c r="C33" s="3">
        <v>98.21</v>
      </c>
      <c r="D33" s="3">
        <v>35.93</v>
      </c>
      <c r="E33" s="3">
        <v>82.92</v>
      </c>
      <c r="F33" s="3">
        <v>100.75</v>
      </c>
      <c r="G33" s="3">
        <v>118.15</v>
      </c>
    </row>
    <row r="35" spans="1:7" x14ac:dyDescent="0.25">
      <c r="A35" s="3" t="s">
        <v>36</v>
      </c>
      <c r="B35" s="3"/>
      <c r="C35" s="3"/>
      <c r="D35" s="3">
        <f>D33-C33</f>
        <v>-62.279999999999994</v>
      </c>
      <c r="E35" s="3"/>
      <c r="F35" s="3">
        <f>F33-E33</f>
        <v>17.829999999999998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46.99</v>
      </c>
      <c r="F37" s="3"/>
      <c r="G37" s="3">
        <f>G33-F33</f>
        <v>17.400000000000006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D958-BAD5-455A-81E5-FA0B29BCC329}">
  <dimension ref="A1:G37"/>
  <sheetViews>
    <sheetView topLeftCell="A7" workbookViewId="0">
      <selection activeCell="B39" sqref="B3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531.26</v>
      </c>
      <c r="C2" s="1">
        <v>473.38</v>
      </c>
      <c r="D2" s="1">
        <v>510.44</v>
      </c>
      <c r="E2" s="1">
        <v>495.58</v>
      </c>
      <c r="F2" s="1">
        <v>557.27</v>
      </c>
      <c r="G2" s="1">
        <v>560.22</v>
      </c>
    </row>
    <row r="3" spans="1:7" x14ac:dyDescent="0.25">
      <c r="A3" s="1" t="s">
        <v>7</v>
      </c>
      <c r="B3" s="1">
        <v>41.68</v>
      </c>
      <c r="C3" s="1">
        <v>40.99</v>
      </c>
      <c r="D3" s="1">
        <v>41.67</v>
      </c>
      <c r="E3" s="1">
        <v>44.32</v>
      </c>
      <c r="F3" s="1">
        <v>44.41</v>
      </c>
      <c r="G3" s="1">
        <v>52.03</v>
      </c>
    </row>
    <row r="4" spans="1:7" x14ac:dyDescent="0.25">
      <c r="A4" s="1" t="s">
        <v>8</v>
      </c>
      <c r="B4" s="1">
        <v>22523.51</v>
      </c>
      <c r="C4" s="1">
        <v>19802.29</v>
      </c>
      <c r="D4" s="1">
        <v>21583.82</v>
      </c>
      <c r="E4" s="1">
        <v>22324.28</v>
      </c>
      <c r="F4" s="1">
        <v>25173.07</v>
      </c>
      <c r="G4" s="1">
        <v>29605.759999999998</v>
      </c>
    </row>
    <row r="5" spans="1:7" x14ac:dyDescent="0.25">
      <c r="A5" s="1" t="s">
        <v>9</v>
      </c>
      <c r="B5" s="1">
        <v>642.30999999999995</v>
      </c>
      <c r="C5" s="1">
        <v>385.26</v>
      </c>
      <c r="D5" s="1">
        <v>559.63</v>
      </c>
      <c r="E5" s="1">
        <v>812.17</v>
      </c>
      <c r="F5" s="1">
        <v>854.56</v>
      </c>
      <c r="G5" s="1">
        <v>932.45</v>
      </c>
    </row>
    <row r="6" spans="1:7" x14ac:dyDescent="0.25">
      <c r="A6" s="3" t="s">
        <v>10</v>
      </c>
      <c r="B6" s="3">
        <v>64.23</v>
      </c>
      <c r="C6" s="3">
        <v>38.909999999999997</v>
      </c>
      <c r="D6" s="3">
        <v>56.53</v>
      </c>
      <c r="E6" s="3">
        <v>82.04</v>
      </c>
      <c r="F6" s="3">
        <v>86.32</v>
      </c>
      <c r="G6" s="3">
        <v>95.15</v>
      </c>
    </row>
    <row r="7" spans="1:7" x14ac:dyDescent="0.25">
      <c r="A7" s="1" t="s">
        <v>11</v>
      </c>
      <c r="B7" s="1">
        <v>631.67999999999995</v>
      </c>
      <c r="C7" s="1">
        <v>375.14</v>
      </c>
      <c r="D7" s="1">
        <v>525.92999999999995</v>
      </c>
      <c r="E7" s="1">
        <v>779.27</v>
      </c>
      <c r="F7" s="1">
        <v>832.28</v>
      </c>
      <c r="G7" s="1">
        <v>924.93</v>
      </c>
    </row>
    <row r="8" spans="1:7" x14ac:dyDescent="0.25">
      <c r="A8" s="1" t="s">
        <v>12</v>
      </c>
      <c r="B8" s="1">
        <v>63.17</v>
      </c>
      <c r="C8" s="1">
        <v>37.89</v>
      </c>
      <c r="D8" s="1">
        <v>53.12</v>
      </c>
      <c r="E8" s="1">
        <v>78.709999999999994</v>
      </c>
      <c r="F8" s="1">
        <v>84.07</v>
      </c>
      <c r="G8" s="1">
        <v>94.38</v>
      </c>
    </row>
    <row r="9" spans="1:7" x14ac:dyDescent="0.25">
      <c r="A9" s="1" t="s">
        <v>13</v>
      </c>
      <c r="B9" s="1">
        <v>620.54999999999995</v>
      </c>
      <c r="C9" s="1">
        <v>330.15</v>
      </c>
      <c r="D9" s="1">
        <v>-500.91</v>
      </c>
      <c r="E9" s="1">
        <v>773.39</v>
      </c>
      <c r="F9" s="1">
        <v>830.77</v>
      </c>
      <c r="G9" s="1">
        <v>924.93</v>
      </c>
    </row>
    <row r="10" spans="1:7" x14ac:dyDescent="0.25">
      <c r="A10" s="1" t="s">
        <v>14</v>
      </c>
      <c r="B10" s="1">
        <v>62.06</v>
      </c>
      <c r="C10" s="1">
        <v>33.35</v>
      </c>
      <c r="D10" s="1">
        <v>-50.6</v>
      </c>
      <c r="E10" s="1">
        <v>78.12</v>
      </c>
      <c r="F10" s="1">
        <v>83.92</v>
      </c>
      <c r="G10" s="1">
        <v>94.38</v>
      </c>
    </row>
    <row r="11" spans="1:7" x14ac:dyDescent="0.25">
      <c r="A11" s="1" t="s">
        <v>15</v>
      </c>
      <c r="B11" s="1">
        <v>573.84</v>
      </c>
      <c r="C11" s="1">
        <v>301.89999999999998</v>
      </c>
      <c r="D11" s="1">
        <v>420.72</v>
      </c>
      <c r="E11" s="1">
        <v>590.79999999999995</v>
      </c>
      <c r="F11" s="1">
        <v>522.08000000000004</v>
      </c>
      <c r="G11" s="1">
        <v>834.18</v>
      </c>
    </row>
    <row r="12" spans="1:7" x14ac:dyDescent="0.25">
      <c r="A12" s="1" t="s">
        <v>16</v>
      </c>
      <c r="B12" s="1">
        <v>293.95</v>
      </c>
      <c r="C12" s="1">
        <v>276.81</v>
      </c>
      <c r="D12" s="1">
        <v>279.89999999999998</v>
      </c>
      <c r="E12" s="1">
        <v>245.08</v>
      </c>
      <c r="F12" s="1">
        <v>248.56</v>
      </c>
      <c r="G12" s="1">
        <v>311.41000000000003</v>
      </c>
    </row>
    <row r="13" spans="1:7" x14ac:dyDescent="0.25">
      <c r="A13" s="1" t="s">
        <v>17</v>
      </c>
      <c r="B13" s="1">
        <v>21.57</v>
      </c>
      <c r="C13" s="1">
        <v>25.42</v>
      </c>
      <c r="D13" s="1">
        <v>36.33</v>
      </c>
      <c r="E13" s="1">
        <v>62.63</v>
      </c>
      <c r="F13" s="1">
        <v>47.56</v>
      </c>
      <c r="G13" s="1">
        <v>24.84</v>
      </c>
    </row>
    <row r="14" spans="1:7" x14ac:dyDescent="0.25">
      <c r="A14" s="1" t="s">
        <v>18</v>
      </c>
      <c r="B14" s="1">
        <v>55.33</v>
      </c>
      <c r="C14" s="1">
        <v>43.76</v>
      </c>
      <c r="D14" s="1">
        <v>83.34</v>
      </c>
      <c r="E14" s="1">
        <v>87.56</v>
      </c>
      <c r="F14" s="1">
        <v>87.56</v>
      </c>
      <c r="G14" s="1">
        <v>53.25</v>
      </c>
    </row>
    <row r="15" spans="1:7" x14ac:dyDescent="0.25">
      <c r="A15" s="1" t="s">
        <v>19</v>
      </c>
      <c r="B15" s="1">
        <v>3</v>
      </c>
      <c r="C15" s="1">
        <v>3</v>
      </c>
      <c r="D15" s="1">
        <v>2</v>
      </c>
      <c r="E15" s="1">
        <v>4</v>
      </c>
      <c r="F15" s="1">
        <v>3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626.12</v>
      </c>
      <c r="C17" s="1">
        <v>352.64</v>
      </c>
      <c r="D17" s="1">
        <v>12.51</v>
      </c>
      <c r="E17" s="1">
        <v>776.33</v>
      </c>
      <c r="F17" s="1">
        <v>831.53</v>
      </c>
      <c r="G17" s="1">
        <v>924.93</v>
      </c>
    </row>
    <row r="18" spans="1:7" x14ac:dyDescent="0.25">
      <c r="A18" s="1" t="s">
        <v>22</v>
      </c>
      <c r="B18" s="1">
        <v>5.56</v>
      </c>
      <c r="C18" s="1">
        <v>22.5</v>
      </c>
      <c r="D18" s="1">
        <v>513.41999999999996</v>
      </c>
      <c r="E18" s="1">
        <v>2.94</v>
      </c>
      <c r="F18" s="1">
        <v>0.76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9.5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0.5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6.3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1.1000000000000001</v>
      </c>
      <c r="C25" s="1">
        <v>6.9</v>
      </c>
      <c r="D25" s="1">
        <v>3.7</v>
      </c>
      <c r="E25" s="1">
        <v>2.4</v>
      </c>
      <c r="F25" s="1">
        <v>0</v>
      </c>
      <c r="G25" s="1">
        <v>0</v>
      </c>
    </row>
    <row r="26" spans="1:7" x14ac:dyDescent="0.25">
      <c r="A26" s="1" t="s">
        <v>30</v>
      </c>
      <c r="B26" s="1">
        <v>9</v>
      </c>
      <c r="C26" s="1">
        <v>3.1</v>
      </c>
      <c r="D26" s="1">
        <v>0</v>
      </c>
      <c r="E26" s="1">
        <v>7.6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63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10.891089108910892</v>
      </c>
      <c r="C30" s="3">
        <f t="shared" ref="C30:G30" si="2">C25/C28*100</f>
        <v>69</v>
      </c>
      <c r="D30" s="3">
        <f t="shared" si="2"/>
        <v>37</v>
      </c>
      <c r="E30" s="3">
        <f t="shared" si="2"/>
        <v>24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89.10891089108911</v>
      </c>
      <c r="C31" s="3">
        <f t="shared" ref="C31:G31" si="3">C26/C28*100</f>
        <v>31</v>
      </c>
      <c r="D31" s="3">
        <f t="shared" si="3"/>
        <v>0</v>
      </c>
      <c r="E31" s="3">
        <f t="shared" si="3"/>
        <v>76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62.52</v>
      </c>
      <c r="C33" s="3">
        <v>32.64</v>
      </c>
      <c r="D33" s="3">
        <v>-49.43</v>
      </c>
      <c r="E33" s="3">
        <v>79.87</v>
      </c>
      <c r="F33" s="3">
        <v>84.37</v>
      </c>
      <c r="G33" s="3">
        <v>95.02</v>
      </c>
    </row>
    <row r="35" spans="1:7" x14ac:dyDescent="0.25">
      <c r="A35" s="3" t="s">
        <v>36</v>
      </c>
      <c r="B35" s="3"/>
      <c r="C35" s="3"/>
      <c r="D35" s="3">
        <f>D33-C33</f>
        <v>-82.07</v>
      </c>
      <c r="E35" s="3"/>
      <c r="F35" s="3">
        <f>F33-E33</f>
        <v>4.5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129.30000000000001</v>
      </c>
      <c r="F37" s="3"/>
      <c r="G37" s="3">
        <f>G33-F33</f>
        <v>10.649999999999991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84D7-0EE3-4CCC-96E1-E7D2E68354E9}">
  <dimension ref="A1:G37"/>
  <sheetViews>
    <sheetView topLeftCell="A10" workbookViewId="0">
      <selection activeCell="C42" sqref="C4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532.82000000000005</v>
      </c>
      <c r="C2" s="1">
        <v>530.91999999999996</v>
      </c>
      <c r="D2" s="1">
        <v>545.59</v>
      </c>
      <c r="E2" s="1">
        <v>489.9</v>
      </c>
      <c r="F2" s="1">
        <v>451.73</v>
      </c>
      <c r="G2" s="1">
        <v>556.51</v>
      </c>
    </row>
    <row r="3" spans="1:7" x14ac:dyDescent="0.25">
      <c r="A3" s="1" t="s">
        <v>7</v>
      </c>
      <c r="B3" s="1">
        <v>44.89</v>
      </c>
      <c r="C3" s="1">
        <v>44.64</v>
      </c>
      <c r="D3" s="1">
        <v>44.98</v>
      </c>
      <c r="E3" s="1">
        <v>45.38</v>
      </c>
      <c r="F3" s="1">
        <v>44.24</v>
      </c>
      <c r="G3" s="1">
        <v>45.69</v>
      </c>
    </row>
    <row r="4" spans="1:7" x14ac:dyDescent="0.25">
      <c r="A4" s="1" t="s">
        <v>8</v>
      </c>
      <c r="B4" s="1">
        <v>24304.94</v>
      </c>
      <c r="C4" s="1">
        <v>24095.74</v>
      </c>
      <c r="D4" s="1">
        <v>24944.880000000001</v>
      </c>
      <c r="E4" s="1">
        <v>22669.39</v>
      </c>
      <c r="F4" s="1">
        <v>20234.82</v>
      </c>
      <c r="G4" s="1">
        <v>25863.22</v>
      </c>
    </row>
    <row r="5" spans="1:7" x14ac:dyDescent="0.25">
      <c r="A5" s="1" t="s">
        <v>9</v>
      </c>
      <c r="B5" s="1">
        <v>752.91</v>
      </c>
      <c r="C5" s="1">
        <v>717.25</v>
      </c>
      <c r="D5" s="1">
        <v>447.78</v>
      </c>
      <c r="E5" s="1">
        <v>617.08000000000004</v>
      </c>
      <c r="F5" s="1">
        <v>737.5</v>
      </c>
      <c r="G5" s="1">
        <v>38.58</v>
      </c>
    </row>
    <row r="6" spans="1:7" x14ac:dyDescent="0.25">
      <c r="A6" s="3" t="s">
        <v>10</v>
      </c>
      <c r="B6" s="3">
        <v>75.290000000000006</v>
      </c>
      <c r="C6" s="3">
        <v>72.45</v>
      </c>
      <c r="D6" s="3">
        <v>45.23</v>
      </c>
      <c r="E6" s="3">
        <v>62.33</v>
      </c>
      <c r="F6" s="3">
        <v>74.489999999999995</v>
      </c>
      <c r="G6" s="3">
        <v>3.94</v>
      </c>
    </row>
    <row r="7" spans="1:7" x14ac:dyDescent="0.25">
      <c r="A7" s="1" t="s">
        <v>11</v>
      </c>
      <c r="B7" s="1">
        <v>741.36</v>
      </c>
      <c r="C7" s="1">
        <v>703.74</v>
      </c>
      <c r="D7" s="1">
        <v>444.78</v>
      </c>
      <c r="E7" s="1">
        <v>595.14</v>
      </c>
      <c r="F7" s="1">
        <v>684.98</v>
      </c>
      <c r="G7" s="1">
        <v>30.84</v>
      </c>
    </row>
    <row r="8" spans="1:7" x14ac:dyDescent="0.25">
      <c r="A8" s="1" t="s">
        <v>12</v>
      </c>
      <c r="B8" s="1">
        <v>74.14</v>
      </c>
      <c r="C8" s="1">
        <v>71.09</v>
      </c>
      <c r="D8" s="1">
        <v>44.93</v>
      </c>
      <c r="E8" s="1">
        <v>60.12</v>
      </c>
      <c r="F8" s="1">
        <v>69.19</v>
      </c>
      <c r="G8" s="1">
        <v>3.15</v>
      </c>
    </row>
    <row r="9" spans="1:7" x14ac:dyDescent="0.25">
      <c r="A9" s="1" t="s">
        <v>13</v>
      </c>
      <c r="B9" s="1">
        <v>741.36</v>
      </c>
      <c r="C9" s="1">
        <v>703.74</v>
      </c>
      <c r="D9" s="1">
        <v>243.74</v>
      </c>
      <c r="E9" s="1">
        <v>549.39</v>
      </c>
      <c r="F9" s="1">
        <v>520.79</v>
      </c>
      <c r="G9" s="1">
        <v>-4.1399999999999997</v>
      </c>
    </row>
    <row r="10" spans="1:7" x14ac:dyDescent="0.25">
      <c r="A10" s="1" t="s">
        <v>14</v>
      </c>
      <c r="B10" s="1">
        <v>74.14</v>
      </c>
      <c r="C10" s="1">
        <v>71.09</v>
      </c>
      <c r="D10" s="1">
        <v>24.62</v>
      </c>
      <c r="E10" s="1">
        <v>55.49</v>
      </c>
      <c r="F10" s="1">
        <v>52.6</v>
      </c>
      <c r="G10" s="1">
        <v>-0.42</v>
      </c>
    </row>
    <row r="11" spans="1:7" x14ac:dyDescent="0.25">
      <c r="A11" s="1" t="s">
        <v>15</v>
      </c>
      <c r="B11" s="1">
        <v>614.79999999999995</v>
      </c>
      <c r="C11" s="1">
        <v>593.29999999999995</v>
      </c>
      <c r="D11" s="1">
        <v>88.75</v>
      </c>
      <c r="E11" s="1">
        <v>130.53</v>
      </c>
      <c r="F11" s="1">
        <v>377.77</v>
      </c>
      <c r="G11" s="1">
        <v>3.16</v>
      </c>
    </row>
    <row r="12" spans="1:7" x14ac:dyDescent="0.25">
      <c r="A12" s="1" t="s">
        <v>16</v>
      </c>
      <c r="B12" s="1">
        <v>288.33</v>
      </c>
      <c r="C12" s="1">
        <v>279.64999999999998</v>
      </c>
      <c r="D12" s="1">
        <v>302.89</v>
      </c>
      <c r="E12" s="1">
        <v>211.09</v>
      </c>
      <c r="F12" s="1">
        <v>193.01</v>
      </c>
      <c r="G12" s="1">
        <v>257.5</v>
      </c>
    </row>
    <row r="13" spans="1:7" x14ac:dyDescent="0.25">
      <c r="A13" s="1" t="s">
        <v>17</v>
      </c>
      <c r="B13" s="1">
        <v>36.79</v>
      </c>
      <c r="C13" s="1">
        <v>33.549999999999997</v>
      </c>
      <c r="D13" s="1">
        <v>25.6</v>
      </c>
      <c r="E13" s="1">
        <v>43.15</v>
      </c>
      <c r="F13" s="1">
        <v>48.84</v>
      </c>
      <c r="G13" s="1">
        <v>68.39</v>
      </c>
    </row>
    <row r="14" spans="1:7" x14ac:dyDescent="0.25">
      <c r="A14" s="1" t="s">
        <v>18</v>
      </c>
      <c r="B14" s="1">
        <v>67.180000000000007</v>
      </c>
      <c r="C14" s="1">
        <v>66.510000000000005</v>
      </c>
      <c r="D14" s="1">
        <v>60.77</v>
      </c>
      <c r="E14" s="1">
        <v>113.42</v>
      </c>
      <c r="F14" s="1">
        <v>76.84</v>
      </c>
      <c r="G14" s="1">
        <v>71.25</v>
      </c>
    </row>
    <row r="15" spans="1:7" x14ac:dyDescent="0.25">
      <c r="A15" s="1" t="s">
        <v>19</v>
      </c>
      <c r="B15" s="1">
        <v>6</v>
      </c>
      <c r="C15" s="1">
        <v>3</v>
      </c>
      <c r="D15" s="1">
        <v>3</v>
      </c>
      <c r="E15" s="1">
        <v>2</v>
      </c>
      <c r="F15" s="1">
        <v>5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741.36</v>
      </c>
      <c r="C17" s="1">
        <v>703.74</v>
      </c>
      <c r="D17" s="1">
        <v>344.26</v>
      </c>
      <c r="E17" s="1">
        <v>572.27</v>
      </c>
      <c r="F17" s="1">
        <v>602.88</v>
      </c>
      <c r="G17" s="1">
        <v>13.35</v>
      </c>
    </row>
    <row r="18" spans="1:7" x14ac:dyDescent="0.25">
      <c r="A18" s="1" t="s">
        <v>22</v>
      </c>
      <c r="B18" s="1">
        <v>0</v>
      </c>
      <c r="C18" s="1">
        <v>0</v>
      </c>
      <c r="D18" s="1">
        <v>100.52</v>
      </c>
      <c r="E18" s="1">
        <v>22.88</v>
      </c>
      <c r="F18" s="1">
        <v>82.1</v>
      </c>
      <c r="G18" s="1">
        <v>17.489999999999998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3</v>
      </c>
    </row>
    <row r="20" spans="1:7" x14ac:dyDescent="0.25">
      <c r="A20" s="1" t="s">
        <v>24</v>
      </c>
      <c r="B20" s="1">
        <v>0</v>
      </c>
      <c r="C20" s="1">
        <v>0</v>
      </c>
      <c r="D20" s="1">
        <v>2.8</v>
      </c>
      <c r="E20" s="1">
        <v>0</v>
      </c>
      <c r="F20" s="1">
        <v>0</v>
      </c>
      <c r="G20" s="1">
        <v>3.8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7.2</v>
      </c>
      <c r="E21" s="1">
        <v>10</v>
      </c>
      <c r="F21" s="1">
        <v>10</v>
      </c>
      <c r="G21" s="1">
        <v>6.1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7.4</v>
      </c>
      <c r="E25" s="1">
        <v>1.6</v>
      </c>
      <c r="F25" s="1">
        <v>1</v>
      </c>
      <c r="G25" s="1">
        <v>9.9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2.6</v>
      </c>
      <c r="E26" s="1">
        <v>8.4</v>
      </c>
      <c r="F26" s="1">
        <v>9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74</v>
      </c>
      <c r="E30" s="3">
        <f t="shared" si="2"/>
        <v>16</v>
      </c>
      <c r="F30" s="3">
        <f t="shared" si="2"/>
        <v>10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26</v>
      </c>
      <c r="E31" s="3">
        <f t="shared" si="3"/>
        <v>84.000000000000014</v>
      </c>
      <c r="F31" s="3">
        <f t="shared" si="3"/>
        <v>90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74.709999999999994</v>
      </c>
      <c r="C33" s="3">
        <v>71.83</v>
      </c>
      <c r="D33" s="3">
        <v>9.07</v>
      </c>
      <c r="E33" s="3">
        <v>54.87</v>
      </c>
      <c r="F33" s="3">
        <v>50.42</v>
      </c>
      <c r="G33" s="3">
        <v>0.04</v>
      </c>
    </row>
    <row r="35" spans="1:7" x14ac:dyDescent="0.25">
      <c r="A35" s="3" t="s">
        <v>36</v>
      </c>
      <c r="B35" s="3"/>
      <c r="C35" s="3"/>
      <c r="D35" s="3">
        <f>D33-C33</f>
        <v>-62.76</v>
      </c>
      <c r="E35" s="3"/>
      <c r="F35" s="3">
        <f>F33-E33</f>
        <v>-4.4499999999999957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45.8</v>
      </c>
      <c r="F37" s="3"/>
      <c r="G37" s="3">
        <f>G33-F33</f>
        <v>-50.38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C782-8332-40BC-B573-AC8D2217E4DC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520.36</v>
      </c>
      <c r="C2" s="1">
        <v>528.99</v>
      </c>
      <c r="D2" s="1">
        <v>505.88</v>
      </c>
      <c r="E2" s="1">
        <v>519.52</v>
      </c>
      <c r="F2" s="1">
        <v>544.04</v>
      </c>
      <c r="G2" s="1">
        <v>509.26</v>
      </c>
    </row>
    <row r="3" spans="1:7" x14ac:dyDescent="0.25">
      <c r="A3" s="1" t="s">
        <v>7</v>
      </c>
      <c r="B3" s="1">
        <v>48.06</v>
      </c>
      <c r="C3" s="1">
        <v>51.39</v>
      </c>
      <c r="D3" s="1">
        <v>48.4</v>
      </c>
      <c r="E3" s="1">
        <v>59.72</v>
      </c>
      <c r="F3" s="1">
        <v>56.61</v>
      </c>
      <c r="G3" s="1">
        <v>53.45</v>
      </c>
    </row>
    <row r="4" spans="1:7" x14ac:dyDescent="0.25">
      <c r="A4" s="1" t="s">
        <v>8</v>
      </c>
      <c r="B4" s="1">
        <v>25420.79</v>
      </c>
      <c r="C4" s="1">
        <v>27638.99</v>
      </c>
      <c r="D4" s="1">
        <v>24864.75</v>
      </c>
      <c r="E4" s="1">
        <v>31540.46</v>
      </c>
      <c r="F4" s="1">
        <v>31296.43</v>
      </c>
      <c r="G4" s="1">
        <v>27660.29</v>
      </c>
    </row>
    <row r="5" spans="1:7" x14ac:dyDescent="0.25">
      <c r="A5" s="1" t="s">
        <v>9</v>
      </c>
      <c r="B5" s="1">
        <v>707.46</v>
      </c>
      <c r="C5" s="1">
        <v>828.26</v>
      </c>
      <c r="D5" s="1">
        <v>909.49</v>
      </c>
      <c r="E5" s="1">
        <v>1162.9100000000001</v>
      </c>
      <c r="F5" s="1">
        <v>1273.56</v>
      </c>
      <c r="G5" s="1">
        <v>1013.08</v>
      </c>
    </row>
    <row r="6" spans="1:7" x14ac:dyDescent="0.25">
      <c r="A6" s="3" t="s">
        <v>10</v>
      </c>
      <c r="B6" s="3">
        <v>70.75</v>
      </c>
      <c r="C6" s="3">
        <v>83.66</v>
      </c>
      <c r="D6" s="3">
        <v>91.87</v>
      </c>
      <c r="E6" s="3">
        <v>117.47</v>
      </c>
      <c r="F6" s="3">
        <v>128.63999999999999</v>
      </c>
      <c r="G6" s="3">
        <v>103.38</v>
      </c>
    </row>
    <row r="7" spans="1:7" x14ac:dyDescent="0.25">
      <c r="A7" s="1" t="s">
        <v>11</v>
      </c>
      <c r="B7" s="1">
        <v>691.36</v>
      </c>
      <c r="C7" s="1">
        <v>790.47</v>
      </c>
      <c r="D7" s="1">
        <v>893.61</v>
      </c>
      <c r="E7" s="1">
        <v>1141.83</v>
      </c>
      <c r="F7" s="1">
        <v>1250.47</v>
      </c>
      <c r="G7" s="1">
        <v>984.66</v>
      </c>
    </row>
    <row r="8" spans="1:7" x14ac:dyDescent="0.25">
      <c r="A8" s="1" t="s">
        <v>12</v>
      </c>
      <c r="B8" s="1">
        <v>69.14</v>
      </c>
      <c r="C8" s="1">
        <v>79.849999999999994</v>
      </c>
      <c r="D8" s="1">
        <v>90.26</v>
      </c>
      <c r="E8" s="1">
        <v>115.34</v>
      </c>
      <c r="F8" s="1">
        <v>126.31</v>
      </c>
      <c r="G8" s="1">
        <v>100.48</v>
      </c>
    </row>
    <row r="9" spans="1:7" x14ac:dyDescent="0.25">
      <c r="A9" s="1" t="s">
        <v>13</v>
      </c>
      <c r="B9" s="1">
        <v>689.84</v>
      </c>
      <c r="C9" s="1">
        <v>765.87</v>
      </c>
      <c r="D9" s="1">
        <v>893.61</v>
      </c>
      <c r="E9" s="1">
        <v>1141.83</v>
      </c>
      <c r="F9" s="1">
        <v>1250.47</v>
      </c>
      <c r="G9" s="1">
        <v>984.42</v>
      </c>
    </row>
    <row r="10" spans="1:7" x14ac:dyDescent="0.25">
      <c r="A10" s="1" t="s">
        <v>14</v>
      </c>
      <c r="B10" s="1">
        <v>68.98</v>
      </c>
      <c r="C10" s="1">
        <v>77.36</v>
      </c>
      <c r="D10" s="1">
        <v>90.26</v>
      </c>
      <c r="E10" s="1">
        <v>115.34</v>
      </c>
      <c r="F10" s="1">
        <v>126.31</v>
      </c>
      <c r="G10" s="1">
        <v>100.45</v>
      </c>
    </row>
    <row r="11" spans="1:7" x14ac:dyDescent="0.25">
      <c r="A11" s="1" t="s">
        <v>15</v>
      </c>
      <c r="B11" s="1">
        <v>524.99</v>
      </c>
      <c r="C11" s="1">
        <v>641.62</v>
      </c>
      <c r="D11" s="1">
        <v>740.43</v>
      </c>
      <c r="E11" s="1">
        <v>833.02</v>
      </c>
      <c r="F11" s="1">
        <v>882.69</v>
      </c>
      <c r="G11" s="1">
        <v>711.02</v>
      </c>
    </row>
    <row r="12" spans="1:7" x14ac:dyDescent="0.25">
      <c r="A12" s="1" t="s">
        <v>16</v>
      </c>
      <c r="B12" s="1">
        <v>238.54</v>
      </c>
      <c r="C12" s="1">
        <v>243.37</v>
      </c>
      <c r="D12" s="1">
        <v>244.49</v>
      </c>
      <c r="E12" s="1">
        <v>255.78</v>
      </c>
      <c r="F12" s="1">
        <v>262.99</v>
      </c>
      <c r="G12" s="1">
        <v>261.83999999999997</v>
      </c>
    </row>
    <row r="13" spans="1:7" x14ac:dyDescent="0.25">
      <c r="A13" s="1" t="s">
        <v>17</v>
      </c>
      <c r="B13" s="1">
        <v>39.96</v>
      </c>
      <c r="C13" s="1">
        <v>35.049999999999997</v>
      </c>
      <c r="D13" s="1">
        <v>32.340000000000003</v>
      </c>
      <c r="E13" s="1">
        <v>38.130000000000003</v>
      </c>
      <c r="F13" s="1">
        <v>41.62</v>
      </c>
      <c r="G13" s="1">
        <v>38.85</v>
      </c>
    </row>
    <row r="14" spans="1:7" x14ac:dyDescent="0.25">
      <c r="A14" s="1" t="s">
        <v>18</v>
      </c>
      <c r="B14" s="1">
        <v>79.83</v>
      </c>
      <c r="C14" s="1">
        <v>88.83</v>
      </c>
      <c r="D14" s="1">
        <v>61.36</v>
      </c>
      <c r="E14" s="1">
        <v>79.97</v>
      </c>
      <c r="F14" s="1">
        <v>89.6</v>
      </c>
      <c r="G14" s="1">
        <v>79.45</v>
      </c>
    </row>
    <row r="15" spans="1:7" x14ac:dyDescent="0.25">
      <c r="A15" s="1" t="s">
        <v>19</v>
      </c>
      <c r="B15" s="1">
        <v>3</v>
      </c>
      <c r="C15" s="1">
        <v>6</v>
      </c>
      <c r="D15" s="1">
        <v>4</v>
      </c>
      <c r="E15" s="1">
        <v>5</v>
      </c>
      <c r="F15" s="1">
        <v>5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690.6</v>
      </c>
      <c r="C17" s="1">
        <v>778.17</v>
      </c>
      <c r="D17" s="1">
        <v>893.61</v>
      </c>
      <c r="E17" s="1">
        <v>1141.83</v>
      </c>
      <c r="F17" s="1">
        <v>1250.47</v>
      </c>
      <c r="G17" s="1">
        <v>984.54</v>
      </c>
    </row>
    <row r="18" spans="1:7" x14ac:dyDescent="0.25">
      <c r="A18" s="1" t="s">
        <v>22</v>
      </c>
      <c r="B18" s="1">
        <v>0.76</v>
      </c>
      <c r="C18" s="1">
        <v>12.3</v>
      </c>
      <c r="D18" s="1">
        <v>0</v>
      </c>
      <c r="E18" s="1">
        <v>0</v>
      </c>
      <c r="F18" s="1">
        <v>0</v>
      </c>
      <c r="G18" s="1">
        <v>0.12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8.8000000000000007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12.871287128712869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87.128712871287135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68.59</v>
      </c>
      <c r="C33" s="3">
        <v>80.680000000000007</v>
      </c>
      <c r="D33" s="3">
        <v>92.93</v>
      </c>
      <c r="E33" s="3">
        <v>117.15</v>
      </c>
      <c r="F33" s="3">
        <v>127</v>
      </c>
      <c r="G33" s="3">
        <v>104.02</v>
      </c>
    </row>
    <row r="35" spans="1:7" x14ac:dyDescent="0.25">
      <c r="A35" s="3" t="s">
        <v>36</v>
      </c>
      <c r="B35" s="3"/>
      <c r="C35" s="3"/>
      <c r="D35" s="3">
        <f>D33-C33</f>
        <v>12.25</v>
      </c>
      <c r="E35" s="3"/>
      <c r="F35" s="3">
        <f>F33-E33</f>
        <v>9.8499999999999943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24.22</v>
      </c>
      <c r="F37" s="3"/>
      <c r="G37" s="3">
        <f>G33-F33</f>
        <v>-22.980000000000004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E3BE-5433-42AE-8201-F2D55A3516A8}">
  <dimension ref="A1:G37"/>
  <sheetViews>
    <sheetView topLeftCell="A10" workbookViewId="0">
      <selection activeCell="E41" sqref="E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421.9</v>
      </c>
      <c r="C2" s="1">
        <v>420.91</v>
      </c>
      <c r="D2" s="1">
        <v>448.22</v>
      </c>
      <c r="E2" s="1">
        <v>496.98</v>
      </c>
      <c r="F2" s="1">
        <v>487.82</v>
      </c>
      <c r="G2" s="1">
        <v>488.44</v>
      </c>
    </row>
    <row r="3" spans="1:7" x14ac:dyDescent="0.25">
      <c r="A3" s="1" t="s">
        <v>7</v>
      </c>
      <c r="B3" s="1">
        <v>45.19</v>
      </c>
      <c r="C3" s="1">
        <v>44.91</v>
      </c>
      <c r="D3" s="1">
        <v>42.4</v>
      </c>
      <c r="E3" s="1">
        <v>44.04</v>
      </c>
      <c r="F3" s="1">
        <v>44.57</v>
      </c>
      <c r="G3" s="1">
        <v>49.6</v>
      </c>
    </row>
    <row r="4" spans="1:7" x14ac:dyDescent="0.25">
      <c r="A4" s="1" t="s">
        <v>8</v>
      </c>
      <c r="B4" s="1">
        <v>19394.55</v>
      </c>
      <c r="C4" s="1">
        <v>19230.22</v>
      </c>
      <c r="D4" s="1">
        <v>19282.66</v>
      </c>
      <c r="E4" s="1">
        <v>22252.560000000001</v>
      </c>
      <c r="F4" s="1">
        <v>22103.279999999999</v>
      </c>
      <c r="G4" s="1">
        <v>24644.19</v>
      </c>
    </row>
    <row r="5" spans="1:7" x14ac:dyDescent="0.25">
      <c r="A5" s="1" t="s">
        <v>9</v>
      </c>
      <c r="B5" s="1">
        <v>97.67</v>
      </c>
      <c r="C5" s="1">
        <v>106.94</v>
      </c>
      <c r="D5" s="1">
        <v>596.01</v>
      </c>
      <c r="E5" s="1">
        <v>581.27</v>
      </c>
      <c r="F5" s="1">
        <v>923.67</v>
      </c>
      <c r="G5" s="1">
        <v>823.92</v>
      </c>
    </row>
    <row r="6" spans="1:7" x14ac:dyDescent="0.25">
      <c r="A6" s="3" t="s">
        <v>10</v>
      </c>
      <c r="B6" s="3">
        <v>9.77</v>
      </c>
      <c r="C6" s="3">
        <v>10.8</v>
      </c>
      <c r="D6" s="3">
        <v>60.2</v>
      </c>
      <c r="E6" s="3">
        <v>58.71</v>
      </c>
      <c r="F6" s="3">
        <v>93.3</v>
      </c>
      <c r="G6" s="3">
        <v>84.07</v>
      </c>
    </row>
    <row r="7" spans="1:7" x14ac:dyDescent="0.25">
      <c r="A7" s="1" t="s">
        <v>11</v>
      </c>
      <c r="B7" s="1">
        <v>91.17</v>
      </c>
      <c r="C7" s="1">
        <v>102.87</v>
      </c>
      <c r="D7" s="1">
        <v>570.08000000000004</v>
      </c>
      <c r="E7" s="1">
        <v>516.29</v>
      </c>
      <c r="F7" s="1">
        <v>890.33</v>
      </c>
      <c r="G7" s="1">
        <v>807.89</v>
      </c>
    </row>
    <row r="8" spans="1:7" x14ac:dyDescent="0.25">
      <c r="A8" s="1" t="s">
        <v>12</v>
      </c>
      <c r="B8" s="1">
        <v>9.1199999999999992</v>
      </c>
      <c r="C8" s="1">
        <v>10.39</v>
      </c>
      <c r="D8" s="1">
        <v>57.58</v>
      </c>
      <c r="E8" s="1">
        <v>52.15</v>
      </c>
      <c r="F8" s="1">
        <v>89.93</v>
      </c>
      <c r="G8" s="1">
        <v>82.44</v>
      </c>
    </row>
    <row r="9" spans="1:7" x14ac:dyDescent="0.25">
      <c r="A9" s="1" t="s">
        <v>13</v>
      </c>
      <c r="B9" s="1">
        <v>-8.2100000000000009</v>
      </c>
      <c r="C9" s="1">
        <v>10.9</v>
      </c>
      <c r="D9" s="1">
        <v>537.85</v>
      </c>
      <c r="E9" s="1">
        <v>445.77</v>
      </c>
      <c r="F9" s="1">
        <v>871.2</v>
      </c>
      <c r="G9" s="1">
        <v>799.45</v>
      </c>
    </row>
    <row r="10" spans="1:7" x14ac:dyDescent="0.25">
      <c r="A10" s="1" t="s">
        <v>14</v>
      </c>
      <c r="B10" s="1">
        <v>-0.82</v>
      </c>
      <c r="C10" s="1">
        <v>1.1000000000000001</v>
      </c>
      <c r="D10" s="1">
        <v>54.33</v>
      </c>
      <c r="E10" s="1">
        <v>45.03</v>
      </c>
      <c r="F10" s="1">
        <v>88</v>
      </c>
      <c r="G10" s="1">
        <v>81.58</v>
      </c>
    </row>
    <row r="11" spans="1:7" x14ac:dyDescent="0.25">
      <c r="A11" s="1" t="s">
        <v>15</v>
      </c>
      <c r="B11" s="1">
        <v>0.54</v>
      </c>
      <c r="C11" s="1">
        <v>2.89</v>
      </c>
      <c r="D11" s="1">
        <v>496.4</v>
      </c>
      <c r="E11" s="1">
        <v>333.26</v>
      </c>
      <c r="F11" s="1">
        <v>555.09</v>
      </c>
      <c r="G11" s="1">
        <v>637.21</v>
      </c>
    </row>
    <row r="12" spans="1:7" x14ac:dyDescent="0.25">
      <c r="A12" s="1" t="s">
        <v>16</v>
      </c>
      <c r="B12" s="1">
        <v>230.17</v>
      </c>
      <c r="C12" s="1">
        <v>229.98</v>
      </c>
      <c r="D12" s="1">
        <v>225.65</v>
      </c>
      <c r="E12" s="1">
        <v>221.11</v>
      </c>
      <c r="F12" s="1">
        <v>228.5</v>
      </c>
      <c r="G12" s="1">
        <v>243.37</v>
      </c>
    </row>
    <row r="13" spans="1:7" x14ac:dyDescent="0.25">
      <c r="A13" s="1" t="s">
        <v>17</v>
      </c>
      <c r="B13" s="1">
        <v>2.0499999999999998</v>
      </c>
      <c r="C13" s="1">
        <v>3.23</v>
      </c>
      <c r="D13" s="1">
        <v>15.78</v>
      </c>
      <c r="E13" s="1">
        <v>41.2</v>
      </c>
      <c r="F13" s="1">
        <v>50.66</v>
      </c>
      <c r="G13" s="1">
        <v>31.66</v>
      </c>
    </row>
    <row r="14" spans="1:7" x14ac:dyDescent="0.25">
      <c r="A14" s="1" t="s">
        <v>18</v>
      </c>
      <c r="B14" s="1">
        <v>5.62</v>
      </c>
      <c r="C14" s="1">
        <v>7.45</v>
      </c>
      <c r="D14" s="1">
        <v>49.86</v>
      </c>
      <c r="E14" s="1">
        <v>95.48</v>
      </c>
      <c r="F14" s="1">
        <v>98.79</v>
      </c>
      <c r="G14" s="1">
        <v>64.16</v>
      </c>
    </row>
    <row r="15" spans="1:7" x14ac:dyDescent="0.25">
      <c r="A15" s="1" t="s">
        <v>19</v>
      </c>
      <c r="B15" s="1">
        <v>2</v>
      </c>
      <c r="C15" s="1">
        <v>5</v>
      </c>
      <c r="D15" s="1">
        <v>4</v>
      </c>
      <c r="E15" s="1">
        <v>2</v>
      </c>
      <c r="F15" s="1">
        <v>4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41.48</v>
      </c>
      <c r="C17" s="1">
        <v>56.88</v>
      </c>
      <c r="D17" s="1">
        <v>553.97</v>
      </c>
      <c r="E17" s="1">
        <v>481.03</v>
      </c>
      <c r="F17" s="1">
        <v>880.77</v>
      </c>
      <c r="G17" s="1">
        <v>803.67</v>
      </c>
    </row>
    <row r="18" spans="1:7" x14ac:dyDescent="0.25">
      <c r="A18" s="1" t="s">
        <v>22</v>
      </c>
      <c r="B18" s="1">
        <v>49.69</v>
      </c>
      <c r="C18" s="1">
        <v>45.99</v>
      </c>
      <c r="D18" s="1">
        <v>16.11</v>
      </c>
      <c r="E18" s="1">
        <v>35.26</v>
      </c>
      <c r="F18" s="1">
        <v>9.57</v>
      </c>
      <c r="G18" s="1">
        <v>4.22</v>
      </c>
    </row>
    <row r="19" spans="1:7" x14ac:dyDescent="0.25">
      <c r="A19" s="1" t="s">
        <v>23</v>
      </c>
      <c r="B19" s="1">
        <v>2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2.6</v>
      </c>
      <c r="C20" s="1">
        <v>0</v>
      </c>
      <c r="D20" s="1">
        <v>0</v>
      </c>
      <c r="E20" s="1">
        <v>1.8</v>
      </c>
      <c r="F20" s="1">
        <v>0</v>
      </c>
      <c r="G20" s="1">
        <v>0</v>
      </c>
    </row>
    <row r="21" spans="1:7" x14ac:dyDescent="0.25">
      <c r="A21" s="1" t="s">
        <v>25</v>
      </c>
      <c r="B21" s="1">
        <v>7.5</v>
      </c>
      <c r="C21" s="1">
        <v>10</v>
      </c>
      <c r="D21" s="1">
        <v>10</v>
      </c>
      <c r="E21" s="1">
        <v>8.1999999999999993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3.8</v>
      </c>
      <c r="E25" s="1">
        <v>2.9</v>
      </c>
      <c r="F25" s="1">
        <v>0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6.2</v>
      </c>
      <c r="E26" s="1">
        <v>7.1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38</v>
      </c>
      <c r="E30" s="3">
        <f t="shared" si="2"/>
        <v>28.999999999999996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62</v>
      </c>
      <c r="E31" s="3">
        <f t="shared" si="3"/>
        <v>71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0.08</v>
      </c>
      <c r="C33" s="3">
        <v>0.02</v>
      </c>
      <c r="D33" s="3">
        <v>55.64</v>
      </c>
      <c r="E33" s="3">
        <v>45.78</v>
      </c>
      <c r="F33" s="3">
        <v>88.69</v>
      </c>
      <c r="G33" s="3">
        <v>83.5</v>
      </c>
    </row>
    <row r="35" spans="1:7" x14ac:dyDescent="0.25">
      <c r="A35" s="3" t="s">
        <v>36</v>
      </c>
      <c r="B35" s="3"/>
      <c r="C35" s="3"/>
      <c r="D35" s="3">
        <f>D33-C33</f>
        <v>55.62</v>
      </c>
      <c r="E35" s="3"/>
      <c r="F35" s="3">
        <f>F33-E33</f>
        <v>42.91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-9.86</v>
      </c>
      <c r="F37" s="3"/>
      <c r="G37" s="3">
        <f>G33-F33</f>
        <v>-5.1899999999999977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3540-7CEF-4F1C-A705-46E9BA0AE08C}">
  <dimension ref="A1:G37"/>
  <sheetViews>
    <sheetView topLeftCell="A10" workbookViewId="0">
      <selection activeCell="I22" sqref="I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540.9</v>
      </c>
      <c r="C2" s="1">
        <v>527.29999999999995</v>
      </c>
      <c r="D2" s="1">
        <v>520.51</v>
      </c>
      <c r="E2" s="1">
        <v>549.07000000000005</v>
      </c>
      <c r="F2" s="1">
        <v>541.05999999999995</v>
      </c>
      <c r="G2" s="1">
        <v>577.32000000000005</v>
      </c>
    </row>
    <row r="3" spans="1:7" x14ac:dyDescent="0.25">
      <c r="A3" s="1" t="s">
        <v>7</v>
      </c>
      <c r="B3" s="1">
        <v>48.94</v>
      </c>
      <c r="C3" s="1">
        <v>47.23</v>
      </c>
      <c r="D3" s="1">
        <v>47.37</v>
      </c>
      <c r="E3" s="1">
        <v>52.06</v>
      </c>
      <c r="F3" s="1">
        <v>48.72</v>
      </c>
      <c r="G3" s="1">
        <v>54.08</v>
      </c>
    </row>
    <row r="4" spans="1:7" x14ac:dyDescent="0.25">
      <c r="A4" s="1" t="s">
        <v>8</v>
      </c>
      <c r="B4" s="1">
        <v>26913.22</v>
      </c>
      <c r="C4" s="1">
        <v>25281.24</v>
      </c>
      <c r="D4" s="1">
        <v>25075.53</v>
      </c>
      <c r="E4" s="1">
        <v>29044.63</v>
      </c>
      <c r="F4" s="1">
        <v>26793.11</v>
      </c>
      <c r="G4" s="1">
        <v>31741.13</v>
      </c>
    </row>
    <row r="5" spans="1:7" x14ac:dyDescent="0.25">
      <c r="A5" s="1" t="s">
        <v>9</v>
      </c>
      <c r="B5" s="1">
        <v>1140.9000000000001</v>
      </c>
      <c r="C5" s="1">
        <v>891.34</v>
      </c>
      <c r="D5" s="1">
        <v>1048.8599999999999</v>
      </c>
      <c r="E5" s="1">
        <v>1423.35</v>
      </c>
      <c r="F5" s="1">
        <v>1676.22</v>
      </c>
      <c r="G5" s="1">
        <v>1256.8900000000001</v>
      </c>
    </row>
    <row r="6" spans="1:7" x14ac:dyDescent="0.25">
      <c r="A6" s="3" t="s">
        <v>10</v>
      </c>
      <c r="B6" s="3">
        <v>114.09</v>
      </c>
      <c r="C6" s="3">
        <v>90.03</v>
      </c>
      <c r="D6" s="3">
        <v>105.95</v>
      </c>
      <c r="E6" s="3">
        <v>143.77000000000001</v>
      </c>
      <c r="F6" s="3">
        <v>169.31</v>
      </c>
      <c r="G6" s="3">
        <v>128.25</v>
      </c>
    </row>
    <row r="7" spans="1:7" x14ac:dyDescent="0.25">
      <c r="A7" s="1" t="s">
        <v>11</v>
      </c>
      <c r="B7" s="1">
        <v>1099.8599999999999</v>
      </c>
      <c r="C7" s="1">
        <v>871.71</v>
      </c>
      <c r="D7" s="1">
        <v>979.89</v>
      </c>
      <c r="E7" s="1">
        <v>1325.15</v>
      </c>
      <c r="F7" s="1">
        <v>1558.59</v>
      </c>
      <c r="G7" s="1">
        <v>1224.22</v>
      </c>
    </row>
    <row r="8" spans="1:7" x14ac:dyDescent="0.25">
      <c r="A8" s="1" t="s">
        <v>12</v>
      </c>
      <c r="B8" s="1">
        <v>109.99</v>
      </c>
      <c r="C8" s="1">
        <v>88.05</v>
      </c>
      <c r="D8" s="1">
        <v>98.98</v>
      </c>
      <c r="E8" s="1">
        <v>133.85</v>
      </c>
      <c r="F8" s="1">
        <v>157.43</v>
      </c>
      <c r="G8" s="1">
        <v>124.92</v>
      </c>
    </row>
    <row r="9" spans="1:7" x14ac:dyDescent="0.25">
      <c r="A9" s="1" t="s">
        <v>13</v>
      </c>
      <c r="B9" s="1">
        <v>1099.8599999999999</v>
      </c>
      <c r="C9" s="1">
        <v>871.71</v>
      </c>
      <c r="D9" s="1">
        <v>974.96</v>
      </c>
      <c r="E9" s="1">
        <v>786.63</v>
      </c>
      <c r="F9" s="1">
        <v>1558.59</v>
      </c>
      <c r="G9" s="1">
        <v>1224.22</v>
      </c>
    </row>
    <row r="10" spans="1:7" x14ac:dyDescent="0.25">
      <c r="A10" s="1" t="s">
        <v>14</v>
      </c>
      <c r="B10" s="1">
        <v>109.99</v>
      </c>
      <c r="C10" s="1">
        <v>88.05</v>
      </c>
      <c r="D10" s="1">
        <v>98.48</v>
      </c>
      <c r="E10" s="1">
        <v>79.459999999999994</v>
      </c>
      <c r="F10" s="1">
        <v>157.43</v>
      </c>
      <c r="G10" s="1">
        <v>124.92</v>
      </c>
    </row>
    <row r="11" spans="1:7" x14ac:dyDescent="0.25">
      <c r="A11" s="1" t="s">
        <v>15</v>
      </c>
      <c r="B11" s="1">
        <v>660.84</v>
      </c>
      <c r="C11" s="1">
        <v>628.86</v>
      </c>
      <c r="D11" s="1">
        <v>742.67</v>
      </c>
      <c r="E11" s="1">
        <v>509.86</v>
      </c>
      <c r="F11" s="1">
        <v>1368.71</v>
      </c>
      <c r="G11" s="1">
        <v>1004.09</v>
      </c>
    </row>
    <row r="12" spans="1:7" x14ac:dyDescent="0.25">
      <c r="A12" s="1" t="s">
        <v>16</v>
      </c>
      <c r="B12" s="1">
        <v>281.75</v>
      </c>
      <c r="C12" s="1">
        <v>258.64</v>
      </c>
      <c r="D12" s="1">
        <v>281.04000000000002</v>
      </c>
      <c r="E12" s="1">
        <v>260.61</v>
      </c>
      <c r="F12" s="1">
        <v>273.86</v>
      </c>
      <c r="G12" s="1">
        <v>280.63</v>
      </c>
    </row>
    <row r="13" spans="1:7" x14ac:dyDescent="0.25">
      <c r="A13" s="1" t="s">
        <v>17</v>
      </c>
      <c r="B13" s="1">
        <v>41.99</v>
      </c>
      <c r="C13" s="1">
        <v>46.03</v>
      </c>
      <c r="D13" s="1">
        <v>37.659999999999997</v>
      </c>
      <c r="E13" s="1">
        <v>47.66</v>
      </c>
      <c r="F13" s="1">
        <v>36.72</v>
      </c>
      <c r="G13" s="1">
        <v>34.51</v>
      </c>
    </row>
    <row r="14" spans="1:7" x14ac:dyDescent="0.25">
      <c r="A14" s="1" t="s">
        <v>18</v>
      </c>
      <c r="B14" s="1">
        <v>103.48</v>
      </c>
      <c r="C14" s="1">
        <v>97.54</v>
      </c>
      <c r="D14" s="1">
        <v>91.12</v>
      </c>
      <c r="E14" s="1">
        <v>95.04</v>
      </c>
      <c r="F14" s="1">
        <v>69.89</v>
      </c>
      <c r="G14" s="1">
        <v>73.489999999999995</v>
      </c>
    </row>
    <row r="15" spans="1:7" x14ac:dyDescent="0.25">
      <c r="A15" s="1" t="s">
        <v>19</v>
      </c>
      <c r="B15" s="1">
        <v>4</v>
      </c>
      <c r="C15" s="1">
        <v>3</v>
      </c>
      <c r="D15" s="1">
        <v>5</v>
      </c>
      <c r="E15" s="1">
        <v>7</v>
      </c>
      <c r="F15" s="1">
        <v>7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1099.8599999999999</v>
      </c>
      <c r="C17" s="1">
        <v>871.71</v>
      </c>
      <c r="D17" s="1">
        <v>977.43</v>
      </c>
      <c r="E17" s="1">
        <v>1055.8900000000001</v>
      </c>
      <c r="F17" s="1">
        <v>1558.59</v>
      </c>
      <c r="G17" s="1">
        <v>1224.22</v>
      </c>
    </row>
    <row r="18" spans="1:7" x14ac:dyDescent="0.25">
      <c r="A18" s="1" t="s">
        <v>22</v>
      </c>
      <c r="B18" s="1">
        <v>0</v>
      </c>
      <c r="C18" s="1">
        <v>0</v>
      </c>
      <c r="D18" s="1">
        <v>2.46</v>
      </c>
      <c r="E18" s="1">
        <v>269.26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3.4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6.6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2.2999999999999998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1.2</v>
      </c>
      <c r="E25" s="1">
        <v>1.3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8.8000000000000007</v>
      </c>
      <c r="E26" s="1">
        <v>6.4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23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12</v>
      </c>
      <c r="E30" s="3">
        <f t="shared" si="2"/>
        <v>13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88.000000000000014</v>
      </c>
      <c r="E31" s="3">
        <f t="shared" si="3"/>
        <v>64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111.97</v>
      </c>
      <c r="C33" s="3">
        <v>92.85</v>
      </c>
      <c r="D33" s="3">
        <v>103.14</v>
      </c>
      <c r="E33" s="3">
        <v>76.7</v>
      </c>
      <c r="F33" s="3">
        <v>165.64</v>
      </c>
      <c r="G33" s="3">
        <v>127.75</v>
      </c>
    </row>
    <row r="35" spans="1:7" x14ac:dyDescent="0.25">
      <c r="A35" s="3" t="s">
        <v>36</v>
      </c>
      <c r="B35" s="3"/>
      <c r="C35" s="3"/>
      <c r="D35" s="3">
        <f>D33-C33</f>
        <v>10.290000000000006</v>
      </c>
      <c r="E35" s="3"/>
      <c r="F35" s="3">
        <f>F33-E33</f>
        <v>88.939999999999984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-26.439999999999998</v>
      </c>
      <c r="F37" s="3"/>
      <c r="G37" s="3">
        <f>G33-F33</f>
        <v>-37.889999999999986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9A4-89C8-4F4B-858E-0BC60C97E16B}">
  <dimension ref="A1:G37"/>
  <sheetViews>
    <sheetView tabSelected="1"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524.22</v>
      </c>
      <c r="C2" s="1">
        <v>486.76</v>
      </c>
      <c r="D2" s="1">
        <v>502.36</v>
      </c>
      <c r="E2" s="1">
        <v>505.5</v>
      </c>
      <c r="F2" s="1">
        <v>506.76</v>
      </c>
      <c r="G2" s="1">
        <v>533.1</v>
      </c>
    </row>
    <row r="3" spans="1:7" x14ac:dyDescent="0.25">
      <c r="A3" s="1" t="s">
        <v>7</v>
      </c>
      <c r="B3" s="1">
        <v>46.19</v>
      </c>
      <c r="C3" s="1">
        <v>42.97</v>
      </c>
      <c r="D3" s="1">
        <v>41.69</v>
      </c>
      <c r="E3" s="1">
        <v>42.5</v>
      </c>
      <c r="F3" s="1">
        <v>43.65</v>
      </c>
      <c r="G3" s="1">
        <v>53.48</v>
      </c>
    </row>
    <row r="4" spans="1:7" x14ac:dyDescent="0.25">
      <c r="A4" s="1" t="s">
        <v>8</v>
      </c>
      <c r="B4" s="1">
        <v>24611.39</v>
      </c>
      <c r="C4" s="1">
        <v>21188.43</v>
      </c>
      <c r="D4" s="1">
        <v>21275.19</v>
      </c>
      <c r="E4" s="1">
        <v>21825.74</v>
      </c>
      <c r="F4" s="1">
        <v>22480.62</v>
      </c>
      <c r="G4" s="1">
        <v>29023.19</v>
      </c>
    </row>
    <row r="5" spans="1:7" x14ac:dyDescent="0.25">
      <c r="A5" s="1" t="s">
        <v>9</v>
      </c>
      <c r="B5" s="1">
        <v>674.24</v>
      </c>
      <c r="C5" s="1">
        <v>670.67</v>
      </c>
      <c r="D5" s="1">
        <v>1187.01</v>
      </c>
      <c r="E5" s="1">
        <v>1713.59</v>
      </c>
      <c r="F5" s="1">
        <v>1758.96</v>
      </c>
      <c r="G5" s="1">
        <v>1628.47</v>
      </c>
    </row>
    <row r="6" spans="1:7" x14ac:dyDescent="0.25">
      <c r="A6" s="3" t="s">
        <v>10</v>
      </c>
      <c r="B6" s="3">
        <v>67.42</v>
      </c>
      <c r="C6" s="3">
        <v>67.739999999999995</v>
      </c>
      <c r="D6" s="3">
        <v>119.9</v>
      </c>
      <c r="E6" s="3">
        <v>173.09</v>
      </c>
      <c r="F6" s="3">
        <v>177.67</v>
      </c>
      <c r="G6" s="3">
        <v>166.17</v>
      </c>
    </row>
    <row r="7" spans="1:7" x14ac:dyDescent="0.25">
      <c r="A7" s="1" t="s">
        <v>11</v>
      </c>
      <c r="B7" s="1">
        <v>667.43</v>
      </c>
      <c r="C7" s="1">
        <v>654.11</v>
      </c>
      <c r="D7" s="1">
        <v>1136.03</v>
      </c>
      <c r="E7" s="1">
        <v>1641.4</v>
      </c>
      <c r="F7" s="1">
        <v>1671.17</v>
      </c>
      <c r="G7" s="1">
        <v>1557.8</v>
      </c>
    </row>
    <row r="8" spans="1:7" x14ac:dyDescent="0.25">
      <c r="A8" s="1" t="s">
        <v>12</v>
      </c>
      <c r="B8" s="1">
        <v>66.739999999999995</v>
      </c>
      <c r="C8" s="1">
        <v>66.069999999999993</v>
      </c>
      <c r="D8" s="1">
        <v>114.75</v>
      </c>
      <c r="E8" s="1">
        <v>165.8</v>
      </c>
      <c r="F8" s="1">
        <v>168.81</v>
      </c>
      <c r="G8" s="1">
        <v>158.96</v>
      </c>
    </row>
    <row r="9" spans="1:7" x14ac:dyDescent="0.25">
      <c r="A9" s="1" t="s">
        <v>13</v>
      </c>
      <c r="B9" s="1">
        <v>667.43</v>
      </c>
      <c r="C9" s="1">
        <v>651.29999999999995</v>
      </c>
      <c r="D9" s="1">
        <v>1132.24</v>
      </c>
      <c r="E9" s="1">
        <v>1641.4</v>
      </c>
      <c r="F9" s="1">
        <v>1671.17</v>
      </c>
      <c r="G9" s="1">
        <v>1557.8</v>
      </c>
    </row>
    <row r="10" spans="1:7" x14ac:dyDescent="0.25">
      <c r="A10" s="1" t="s">
        <v>14</v>
      </c>
      <c r="B10" s="1">
        <v>66.739999999999995</v>
      </c>
      <c r="C10" s="1">
        <v>65.790000000000006</v>
      </c>
      <c r="D10" s="1">
        <v>114.37</v>
      </c>
      <c r="E10" s="1">
        <v>165.8</v>
      </c>
      <c r="F10" s="1">
        <v>168.81</v>
      </c>
      <c r="G10" s="1">
        <v>158.96</v>
      </c>
    </row>
    <row r="11" spans="1:7" x14ac:dyDescent="0.25">
      <c r="A11" s="1" t="s">
        <v>15</v>
      </c>
      <c r="B11" s="1">
        <v>487.26</v>
      </c>
      <c r="C11" s="1">
        <v>527.84</v>
      </c>
      <c r="D11" s="1">
        <v>880.87</v>
      </c>
      <c r="E11" s="1">
        <v>1140.76</v>
      </c>
      <c r="F11" s="1">
        <v>1203.23</v>
      </c>
      <c r="G11" s="1">
        <v>1264.74</v>
      </c>
    </row>
    <row r="12" spans="1:7" x14ac:dyDescent="0.25">
      <c r="A12" s="1" t="s">
        <v>16</v>
      </c>
      <c r="B12" s="1">
        <v>286.58</v>
      </c>
      <c r="C12" s="1">
        <v>269.33999999999997</v>
      </c>
      <c r="D12" s="1">
        <v>258.37</v>
      </c>
      <c r="E12" s="1">
        <v>271.91000000000003</v>
      </c>
      <c r="F12" s="1">
        <v>276.52</v>
      </c>
      <c r="G12" s="1">
        <v>298.68</v>
      </c>
    </row>
    <row r="13" spans="1:7" x14ac:dyDescent="0.25">
      <c r="A13" s="1" t="s">
        <v>17</v>
      </c>
      <c r="B13" s="1">
        <v>45.96</v>
      </c>
      <c r="C13" s="1">
        <v>43.31</v>
      </c>
      <c r="D13" s="1">
        <v>49.72</v>
      </c>
      <c r="E13" s="1">
        <v>52.95</v>
      </c>
      <c r="F13" s="1">
        <v>50.06</v>
      </c>
      <c r="G13" s="1">
        <v>44.43</v>
      </c>
    </row>
    <row r="14" spans="1:7" x14ac:dyDescent="0.25">
      <c r="A14" s="1" t="s">
        <v>18</v>
      </c>
      <c r="B14" s="1">
        <v>87.52</v>
      </c>
      <c r="C14" s="1">
        <v>78.38</v>
      </c>
      <c r="D14" s="1">
        <v>96.13</v>
      </c>
      <c r="E14" s="1">
        <v>92.34</v>
      </c>
      <c r="F14" s="1">
        <v>93.61</v>
      </c>
      <c r="G14" s="1">
        <v>78.98</v>
      </c>
    </row>
    <row r="15" spans="1:7" x14ac:dyDescent="0.25">
      <c r="A15" s="1" t="s">
        <v>19</v>
      </c>
      <c r="B15" s="1">
        <v>4</v>
      </c>
      <c r="C15" s="1">
        <v>4</v>
      </c>
      <c r="D15" s="1">
        <v>5</v>
      </c>
      <c r="E15" s="1">
        <v>8</v>
      </c>
      <c r="F15" s="1">
        <v>8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667.43</v>
      </c>
      <c r="C17" s="1">
        <v>652.70000000000005</v>
      </c>
      <c r="D17" s="1">
        <v>1134.1300000000001</v>
      </c>
      <c r="E17" s="1">
        <v>1641.4</v>
      </c>
      <c r="F17" s="1">
        <v>1671.17</v>
      </c>
      <c r="G17" s="1">
        <v>1557.8</v>
      </c>
    </row>
    <row r="18" spans="1:7" x14ac:dyDescent="0.25">
      <c r="A18" s="1" t="s">
        <v>22</v>
      </c>
      <c r="B18" s="1">
        <v>0</v>
      </c>
      <c r="C18" s="1">
        <v>1.4</v>
      </c>
      <c r="D18" s="1">
        <v>1.89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2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66.36</v>
      </c>
      <c r="C33" s="3">
        <v>67.83</v>
      </c>
      <c r="D33" s="3">
        <v>116.16</v>
      </c>
      <c r="E33" s="3">
        <v>170.78</v>
      </c>
      <c r="F33" s="3">
        <v>174.56</v>
      </c>
      <c r="G33" s="3">
        <v>166.07</v>
      </c>
    </row>
    <row r="35" spans="1:7" x14ac:dyDescent="0.25">
      <c r="A35" s="3" t="s">
        <v>36</v>
      </c>
      <c r="B35" s="3"/>
      <c r="C35" s="3"/>
      <c r="D35" s="3">
        <f>D33-C33</f>
        <v>48.33</v>
      </c>
      <c r="E35" s="3"/>
      <c r="F35" s="3">
        <f>F33-E33</f>
        <v>3.7800000000000011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54.620000000000005</v>
      </c>
      <c r="F37" s="3"/>
      <c r="G37" s="3">
        <f>G33-F33</f>
        <v>-8.4900000000000091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0838-9780-4463-BB56-08E01CDAD7D7}">
  <dimension ref="A1:G37"/>
  <sheetViews>
    <sheetView workbookViewId="0">
      <selection activeCell="J26" sqref="J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240129C002.1</vt:lpstr>
      <vt:lpstr>240129C002.2</vt:lpstr>
      <vt:lpstr>240129C002.3</vt:lpstr>
      <vt:lpstr>240129C003.1</vt:lpstr>
      <vt:lpstr>240129C003.2</vt:lpstr>
      <vt:lpstr>240129C003.3</vt:lpstr>
      <vt:lpstr>240129C003.4</vt:lpstr>
      <vt:lpstr>240129C003.5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2024-01-30T23:04:03Z</dcterms:created>
  <dcterms:modified xsi:type="dcterms:W3CDTF">2024-01-31T23:59:34Z</dcterms:modified>
</cp:coreProperties>
</file>