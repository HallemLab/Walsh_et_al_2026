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203\WormLab Data\"/>
    </mc:Choice>
  </mc:AlternateContent>
  <xr:revisionPtr revIDLastSave="0" documentId="13_ncr:1_{A7C0FF19-757C-4C99-8E1A-EE13639FA2B7}" xr6:coauthVersionLast="36" xr6:coauthVersionMax="36" xr10:uidLastSave="{00000000-0000-0000-0000-000000000000}"/>
  <bookViews>
    <workbookView xWindow="0" yWindow="0" windowWidth="24225" windowHeight="10995" activeTab="3" xr2:uid="{A9CFDF33-81BF-4E7F-BD22-CFDCC7A1C0C9}"/>
  </bookViews>
  <sheets>
    <sheet name="240203C001.1" sheetId="2" r:id="rId1"/>
    <sheet name="240203C001.3" sheetId="3" r:id="rId2"/>
    <sheet name="240203C002.4" sheetId="4" r:id="rId3"/>
    <sheet name="template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4" l="1"/>
  <c r="E37" i="4"/>
  <c r="C37" i="4"/>
  <c r="F35" i="4"/>
  <c r="D35" i="4"/>
  <c r="F31" i="4"/>
  <c r="E31" i="4"/>
  <c r="D31" i="4"/>
  <c r="C31" i="4"/>
  <c r="B31" i="4"/>
  <c r="F30" i="4"/>
  <c r="E30" i="4"/>
  <c r="D30" i="4"/>
  <c r="C30" i="4"/>
  <c r="B30" i="4"/>
  <c r="F29" i="4"/>
  <c r="E29" i="4"/>
  <c r="G28" i="4"/>
  <c r="G31" i="4" s="1"/>
  <c r="F28" i="4"/>
  <c r="E28" i="4"/>
  <c r="D28" i="4"/>
  <c r="D29" i="4" s="1"/>
  <c r="C28" i="4"/>
  <c r="C29" i="4" s="1"/>
  <c r="B28" i="4"/>
  <c r="B29" i="4" s="1"/>
  <c r="B29" i="3"/>
  <c r="G37" i="3"/>
  <c r="E37" i="3"/>
  <c r="C37" i="3"/>
  <c r="F35" i="3"/>
  <c r="D35" i="3"/>
  <c r="G28" i="3"/>
  <c r="G31" i="3" s="1"/>
  <c r="F28" i="3"/>
  <c r="F31" i="3" s="1"/>
  <c r="E28" i="3"/>
  <c r="E31" i="3" s="1"/>
  <c r="D28" i="3"/>
  <c r="D31" i="3" s="1"/>
  <c r="C28" i="3"/>
  <c r="C31" i="3" s="1"/>
  <c r="B28" i="3"/>
  <c r="B31" i="3" s="1"/>
  <c r="B29" i="2"/>
  <c r="G37" i="2"/>
  <c r="E37" i="2"/>
  <c r="C37" i="2"/>
  <c r="F35" i="2"/>
  <c r="D35" i="2"/>
  <c r="C31" i="2"/>
  <c r="B31" i="2"/>
  <c r="C30" i="2"/>
  <c r="B30" i="2"/>
  <c r="G28" i="2"/>
  <c r="G31" i="2" s="1"/>
  <c r="F28" i="2"/>
  <c r="F31" i="2" s="1"/>
  <c r="E28" i="2"/>
  <c r="E31" i="2" s="1"/>
  <c r="D28" i="2"/>
  <c r="D29" i="2" s="1"/>
  <c r="C28" i="2"/>
  <c r="C29" i="2" s="1"/>
  <c r="B28" i="2"/>
  <c r="G37" i="1"/>
  <c r="E37" i="1"/>
  <c r="C37" i="1"/>
  <c r="F35" i="1"/>
  <c r="D35" i="1"/>
  <c r="G31" i="1"/>
  <c r="F31" i="1"/>
  <c r="D31" i="1"/>
  <c r="C31" i="1"/>
  <c r="G30" i="1"/>
  <c r="E30" i="1"/>
  <c r="C30" i="1"/>
  <c r="B30" i="1"/>
  <c r="G28" i="1"/>
  <c r="G29" i="1" s="1"/>
  <c r="F28" i="1"/>
  <c r="F30" i="1" s="1"/>
  <c r="E28" i="1"/>
  <c r="E31" i="1" s="1"/>
  <c r="D28" i="1"/>
  <c r="D30" i="1" s="1"/>
  <c r="C28" i="1"/>
  <c r="C29" i="1" s="1"/>
  <c r="B28" i="1"/>
  <c r="B31" i="1" s="1"/>
  <c r="G29" i="4" l="1"/>
  <c r="G30" i="4"/>
  <c r="D29" i="3"/>
  <c r="E29" i="3"/>
  <c r="B30" i="3"/>
  <c r="E30" i="3"/>
  <c r="C29" i="3"/>
  <c r="D30" i="3"/>
  <c r="F29" i="3"/>
  <c r="C30" i="3"/>
  <c r="F30" i="3"/>
  <c r="G29" i="3"/>
  <c r="G30" i="3"/>
  <c r="E29" i="2"/>
  <c r="D30" i="2"/>
  <c r="F29" i="2"/>
  <c r="G29" i="2"/>
  <c r="E30" i="2"/>
  <c r="F30" i="2"/>
  <c r="G30" i="2"/>
  <c r="D31" i="2"/>
  <c r="D29" i="1"/>
  <c r="E29" i="1"/>
  <c r="F29" i="1"/>
  <c r="B29" i="1"/>
</calcChain>
</file>

<file path=xl/sharedStrings.xml><?xml version="1.0" encoding="utf-8"?>
<sst xmlns="http://schemas.openxmlformats.org/spreadsheetml/2006/main" count="152" uniqueCount="37">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</sst>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BB1-C072-4A2F-9ADC-7DAD92F13C2A}">
  <dimension ref="A1:G37"/>
  <sheetViews>
    <sheetView topLeftCell="A10" workbookViewId="0">
      <selection activeCell="A43" sqref="A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533.08000000000004</v>
      </c>
      <c r="C2" s="1">
        <v>492.26</v>
      </c>
      <c r="D2" s="1">
        <v>527.11</v>
      </c>
      <c r="E2" s="1">
        <v>524.78</v>
      </c>
      <c r="F2" s="1">
        <v>491.92</v>
      </c>
      <c r="G2" s="1">
        <v>510.67</v>
      </c>
    </row>
    <row r="3" spans="1:7" x14ac:dyDescent="0.25">
      <c r="A3" s="1" t="s">
        <v>7</v>
      </c>
      <c r="B3" s="1">
        <v>43.69</v>
      </c>
      <c r="C3" s="1">
        <v>41.54</v>
      </c>
      <c r="D3" s="1">
        <v>41.74</v>
      </c>
      <c r="E3" s="1">
        <v>45.02</v>
      </c>
      <c r="F3" s="1">
        <v>42.16</v>
      </c>
      <c r="G3" s="1">
        <v>41.21</v>
      </c>
    </row>
    <row r="4" spans="1:7" x14ac:dyDescent="0.25">
      <c r="A4" s="1" t="s">
        <v>8</v>
      </c>
      <c r="B4" s="1">
        <v>23685.99</v>
      </c>
      <c r="C4" s="1">
        <v>20756.75</v>
      </c>
      <c r="D4" s="1">
        <v>22374.98</v>
      </c>
      <c r="E4" s="1">
        <v>24015.82</v>
      </c>
      <c r="F4" s="1">
        <v>21055.72</v>
      </c>
      <c r="G4" s="1">
        <v>21396.86</v>
      </c>
    </row>
    <row r="5" spans="1:7" x14ac:dyDescent="0.25">
      <c r="A5" s="1" t="s">
        <v>9</v>
      </c>
      <c r="B5" s="1">
        <v>1077.8499999999999</v>
      </c>
      <c r="C5" s="1">
        <v>893.75</v>
      </c>
      <c r="D5" s="1">
        <v>113.56</v>
      </c>
      <c r="E5" s="1">
        <v>792.78</v>
      </c>
      <c r="F5" s="1">
        <v>914.97</v>
      </c>
      <c r="G5" s="1">
        <v>1145.5999999999999</v>
      </c>
    </row>
    <row r="6" spans="1:7" x14ac:dyDescent="0.25">
      <c r="A6" s="3" t="s">
        <v>10</v>
      </c>
      <c r="B6" s="3">
        <v>107.78</v>
      </c>
      <c r="C6" s="3">
        <v>90.28</v>
      </c>
      <c r="D6" s="3">
        <v>11.47</v>
      </c>
      <c r="E6" s="3">
        <v>80.08</v>
      </c>
      <c r="F6" s="3">
        <v>92.42</v>
      </c>
      <c r="G6" s="3">
        <v>116.9</v>
      </c>
    </row>
    <row r="7" spans="1:7" x14ac:dyDescent="0.25">
      <c r="A7" s="1" t="s">
        <v>11</v>
      </c>
      <c r="B7" s="1">
        <v>1059.46</v>
      </c>
      <c r="C7" s="1">
        <v>842.16</v>
      </c>
      <c r="D7" s="1">
        <v>108.51</v>
      </c>
      <c r="E7" s="1">
        <v>763.98</v>
      </c>
      <c r="F7" s="1">
        <v>850.36</v>
      </c>
      <c r="G7" s="1">
        <v>1108.1099999999999</v>
      </c>
    </row>
    <row r="8" spans="1:7" x14ac:dyDescent="0.25">
      <c r="A8" s="1" t="s">
        <v>12</v>
      </c>
      <c r="B8" s="1">
        <v>105.95</v>
      </c>
      <c r="C8" s="1">
        <v>85.07</v>
      </c>
      <c r="D8" s="1">
        <v>10.96</v>
      </c>
      <c r="E8" s="1">
        <v>77.17</v>
      </c>
      <c r="F8" s="1">
        <v>85.89</v>
      </c>
      <c r="G8" s="1">
        <v>113.07</v>
      </c>
    </row>
    <row r="9" spans="1:7" x14ac:dyDescent="0.25">
      <c r="A9" s="1" t="s">
        <v>13</v>
      </c>
      <c r="B9" s="1">
        <v>1059.46</v>
      </c>
      <c r="C9" s="1">
        <v>834.56</v>
      </c>
      <c r="D9" s="1">
        <v>22.12</v>
      </c>
      <c r="E9" s="1">
        <v>732.72</v>
      </c>
      <c r="F9" s="1">
        <v>830.93</v>
      </c>
      <c r="G9" s="1">
        <v>1090.1500000000001</v>
      </c>
    </row>
    <row r="10" spans="1:7" x14ac:dyDescent="0.25">
      <c r="A10" s="1" t="s">
        <v>14</v>
      </c>
      <c r="B10" s="1">
        <v>105.95</v>
      </c>
      <c r="C10" s="1">
        <v>84.3</v>
      </c>
      <c r="D10" s="1">
        <v>2.23</v>
      </c>
      <c r="E10" s="1">
        <v>74.010000000000005</v>
      </c>
      <c r="F10" s="1">
        <v>83.93</v>
      </c>
      <c r="G10" s="1">
        <v>111.24</v>
      </c>
    </row>
    <row r="11" spans="1:7" x14ac:dyDescent="0.25">
      <c r="A11" s="1" t="s">
        <v>15</v>
      </c>
      <c r="B11" s="1">
        <v>796.54</v>
      </c>
      <c r="C11" s="1">
        <v>699.15</v>
      </c>
      <c r="D11" s="1">
        <v>14.81</v>
      </c>
      <c r="E11" s="1">
        <v>457.7</v>
      </c>
      <c r="F11" s="1">
        <v>649.82000000000005</v>
      </c>
      <c r="G11" s="1">
        <v>778.13</v>
      </c>
    </row>
    <row r="12" spans="1:7" x14ac:dyDescent="0.25">
      <c r="A12" s="1" t="s">
        <v>16</v>
      </c>
      <c r="B12" s="1">
        <v>273.45</v>
      </c>
      <c r="C12" s="1">
        <v>270.58999999999997</v>
      </c>
      <c r="D12" s="1">
        <v>275.06</v>
      </c>
      <c r="E12" s="1">
        <v>244.24</v>
      </c>
      <c r="F12" s="1">
        <v>272.14999999999998</v>
      </c>
      <c r="G12" s="1">
        <v>278.48</v>
      </c>
    </row>
    <row r="13" spans="1:7" x14ac:dyDescent="0.25">
      <c r="A13" s="1" t="s">
        <v>17</v>
      </c>
      <c r="B13" s="1">
        <v>50.2</v>
      </c>
      <c r="C13" s="1">
        <v>40.950000000000003</v>
      </c>
      <c r="D13" s="1">
        <v>3.43</v>
      </c>
      <c r="E13" s="1">
        <v>39.99</v>
      </c>
      <c r="F13" s="1">
        <v>32.979999999999997</v>
      </c>
      <c r="G13" s="1">
        <v>43.24</v>
      </c>
    </row>
    <row r="14" spans="1:7" x14ac:dyDescent="0.25">
      <c r="A14" s="1" t="s">
        <v>18</v>
      </c>
      <c r="B14" s="1">
        <v>93.05</v>
      </c>
      <c r="C14" s="1">
        <v>78.069999999999993</v>
      </c>
      <c r="D14" s="1">
        <v>11.34</v>
      </c>
      <c r="E14" s="1">
        <v>107.86</v>
      </c>
      <c r="F14" s="1">
        <v>76.08</v>
      </c>
      <c r="G14" s="1">
        <v>92.74</v>
      </c>
    </row>
    <row r="15" spans="1:7" x14ac:dyDescent="0.25">
      <c r="A15" s="1" t="s">
        <v>19</v>
      </c>
      <c r="B15" s="1">
        <v>6</v>
      </c>
      <c r="C15" s="1">
        <v>5</v>
      </c>
      <c r="D15" s="1">
        <v>4</v>
      </c>
      <c r="E15" s="1">
        <v>4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1059.46</v>
      </c>
      <c r="C17" s="1">
        <v>838.36</v>
      </c>
      <c r="D17" s="1">
        <v>65.31</v>
      </c>
      <c r="E17" s="1">
        <v>748.35</v>
      </c>
      <c r="F17" s="1">
        <v>840.64</v>
      </c>
      <c r="G17" s="1">
        <v>1099.1300000000001</v>
      </c>
    </row>
    <row r="18" spans="1:7" x14ac:dyDescent="0.25">
      <c r="A18" s="1" t="s">
        <v>22</v>
      </c>
      <c r="B18" s="1">
        <v>0</v>
      </c>
      <c r="C18" s="1">
        <v>3.8</v>
      </c>
      <c r="D18" s="1">
        <v>43.2</v>
      </c>
      <c r="E18" s="1">
        <v>15.63</v>
      </c>
      <c r="F18" s="1">
        <v>9.7100000000000009</v>
      </c>
      <c r="G18" s="1">
        <v>8.98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10</v>
      </c>
      <c r="E25" s="1">
        <v>1.7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0</v>
      </c>
      <c r="E26" s="1">
        <v>8.3000000000000007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100</v>
      </c>
      <c r="E30" s="3">
        <f t="shared" si="2"/>
        <v>17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0</v>
      </c>
      <c r="E31" s="3">
        <f t="shared" si="3"/>
        <v>83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105.79</v>
      </c>
      <c r="C33" s="3">
        <v>91.44</v>
      </c>
      <c r="D33" s="3">
        <v>2.17</v>
      </c>
      <c r="E33" s="3">
        <v>74.569999999999993</v>
      </c>
      <c r="F33" s="3">
        <v>86.57</v>
      </c>
      <c r="G33" s="3">
        <v>111.43</v>
      </c>
    </row>
    <row r="35" spans="1:7" x14ac:dyDescent="0.25">
      <c r="A35" s="3" t="s">
        <v>36</v>
      </c>
      <c r="B35" s="3"/>
      <c r="C35" s="3"/>
      <c r="D35" s="3">
        <f>D33-C33</f>
        <v>-89.27</v>
      </c>
      <c r="E35" s="3"/>
      <c r="F35" s="3">
        <f>F33-E33</f>
        <v>12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72.399999999999991</v>
      </c>
      <c r="F37" s="3"/>
      <c r="G37" s="3">
        <f>G33-F33</f>
        <v>24.860000000000014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D7DE-43F4-4E92-80EC-2BD674540197}">
  <dimension ref="A1:G37"/>
  <sheetViews>
    <sheetView topLeftCell="A10" workbookViewId="0">
      <selection activeCell="K15" sqref="K15:K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547.15</v>
      </c>
      <c r="C2" s="1">
        <v>400</v>
      </c>
      <c r="D2" s="1">
        <v>521.57000000000005</v>
      </c>
      <c r="E2" s="1">
        <v>478.71</v>
      </c>
      <c r="F2" s="1">
        <v>382.7</v>
      </c>
      <c r="G2" s="1">
        <v>523.49</v>
      </c>
    </row>
    <row r="3" spans="1:7" x14ac:dyDescent="0.25">
      <c r="A3" s="1" t="s">
        <v>7</v>
      </c>
      <c r="B3" s="1">
        <v>49.24</v>
      </c>
      <c r="C3" s="1">
        <v>42.58</v>
      </c>
      <c r="D3" s="1">
        <v>46.43</v>
      </c>
      <c r="E3" s="1">
        <v>48.31</v>
      </c>
      <c r="F3" s="1">
        <v>46.06</v>
      </c>
      <c r="G3" s="1">
        <v>52.53</v>
      </c>
    </row>
    <row r="4" spans="1:7" x14ac:dyDescent="0.25">
      <c r="A4" s="1" t="s">
        <v>8</v>
      </c>
      <c r="B4" s="1">
        <v>27397.73</v>
      </c>
      <c r="C4" s="1">
        <v>17647.919999999998</v>
      </c>
      <c r="D4" s="1">
        <v>24619.5</v>
      </c>
      <c r="E4" s="1">
        <v>23541.8</v>
      </c>
      <c r="F4" s="1">
        <v>17966.93</v>
      </c>
      <c r="G4" s="1">
        <v>27976.02</v>
      </c>
    </row>
    <row r="5" spans="1:7" x14ac:dyDescent="0.25">
      <c r="A5" s="1" t="s">
        <v>9</v>
      </c>
      <c r="B5" s="1">
        <v>1170.23</v>
      </c>
      <c r="C5" s="1">
        <v>624.41999999999996</v>
      </c>
      <c r="D5" s="1">
        <v>763.81</v>
      </c>
      <c r="E5" s="1">
        <v>372.28</v>
      </c>
      <c r="F5" s="1">
        <v>627.64</v>
      </c>
      <c r="G5" s="1">
        <v>128.41999999999999</v>
      </c>
    </row>
    <row r="6" spans="1:7" x14ac:dyDescent="0.25">
      <c r="A6" s="3" t="s">
        <v>10</v>
      </c>
      <c r="B6" s="3">
        <v>117.02</v>
      </c>
      <c r="C6" s="3">
        <v>63.07</v>
      </c>
      <c r="D6" s="3">
        <v>77.150000000000006</v>
      </c>
      <c r="E6" s="3">
        <v>37.6</v>
      </c>
      <c r="F6" s="3">
        <v>63.4</v>
      </c>
      <c r="G6" s="3">
        <v>13.1</v>
      </c>
    </row>
    <row r="7" spans="1:7" x14ac:dyDescent="0.25">
      <c r="A7" s="1" t="s">
        <v>11</v>
      </c>
      <c r="B7" s="1">
        <v>1125.28</v>
      </c>
      <c r="C7" s="1">
        <v>548.04</v>
      </c>
      <c r="D7" s="1">
        <v>729.67</v>
      </c>
      <c r="E7" s="1">
        <v>338.18</v>
      </c>
      <c r="F7" s="1">
        <v>583.80999999999995</v>
      </c>
      <c r="G7" s="1">
        <v>110.29</v>
      </c>
    </row>
    <row r="8" spans="1:7" x14ac:dyDescent="0.25">
      <c r="A8" s="1" t="s">
        <v>12</v>
      </c>
      <c r="B8" s="1">
        <v>112.53</v>
      </c>
      <c r="C8" s="1">
        <v>55.36</v>
      </c>
      <c r="D8" s="1">
        <v>73.7</v>
      </c>
      <c r="E8" s="1">
        <v>34.159999999999997</v>
      </c>
      <c r="F8" s="1">
        <v>58.97</v>
      </c>
      <c r="G8" s="1">
        <v>11.25</v>
      </c>
    </row>
    <row r="9" spans="1:7" x14ac:dyDescent="0.25">
      <c r="A9" s="1" t="s">
        <v>13</v>
      </c>
      <c r="B9" s="1">
        <v>1125.28</v>
      </c>
      <c r="C9" s="1">
        <v>374.89</v>
      </c>
      <c r="D9" s="1">
        <v>642.45000000000005</v>
      </c>
      <c r="E9" s="1">
        <v>293.83999999999997</v>
      </c>
      <c r="F9" s="1">
        <v>373.16</v>
      </c>
      <c r="G9" s="1">
        <v>49.06</v>
      </c>
    </row>
    <row r="10" spans="1:7" x14ac:dyDescent="0.25">
      <c r="A10" s="1" t="s">
        <v>14</v>
      </c>
      <c r="B10" s="1">
        <v>112.53</v>
      </c>
      <c r="C10" s="1">
        <v>37.869999999999997</v>
      </c>
      <c r="D10" s="1">
        <v>64.89</v>
      </c>
      <c r="E10" s="1">
        <v>29.68</v>
      </c>
      <c r="F10" s="1">
        <v>37.69</v>
      </c>
      <c r="G10" s="1">
        <v>5.01</v>
      </c>
    </row>
    <row r="11" spans="1:7" x14ac:dyDescent="0.25">
      <c r="A11" s="1" t="s">
        <v>15</v>
      </c>
      <c r="B11" s="1">
        <v>871.07</v>
      </c>
      <c r="C11" s="1">
        <v>176.05</v>
      </c>
      <c r="D11" s="1">
        <v>524.69000000000005</v>
      </c>
      <c r="E11" s="1">
        <v>226.32</v>
      </c>
      <c r="F11" s="1">
        <v>45.96</v>
      </c>
      <c r="G11" s="1">
        <v>25.25</v>
      </c>
    </row>
    <row r="12" spans="1:7" x14ac:dyDescent="0.25">
      <c r="A12" s="1" t="s">
        <v>16</v>
      </c>
      <c r="B12" s="1">
        <v>298.69</v>
      </c>
      <c r="C12" s="1">
        <v>181.36</v>
      </c>
      <c r="D12" s="1">
        <v>282.08999999999997</v>
      </c>
      <c r="E12" s="1">
        <v>223.06</v>
      </c>
      <c r="F12" s="1">
        <v>155.35</v>
      </c>
      <c r="G12" s="1">
        <v>290.19</v>
      </c>
    </row>
    <row r="13" spans="1:7" x14ac:dyDescent="0.25">
      <c r="A13" s="1" t="s">
        <v>17</v>
      </c>
      <c r="B13" s="1">
        <v>46.83</v>
      </c>
      <c r="C13" s="1">
        <v>35.119999999999997</v>
      </c>
      <c r="D13" s="1">
        <v>21.86</v>
      </c>
      <c r="E13" s="1">
        <v>27.04</v>
      </c>
      <c r="F13" s="1">
        <v>30.24</v>
      </c>
      <c r="G13" s="1">
        <v>9.0299999999999994</v>
      </c>
    </row>
    <row r="14" spans="1:7" x14ac:dyDescent="0.25">
      <c r="A14" s="1" t="s">
        <v>18</v>
      </c>
      <c r="B14" s="1">
        <v>82.31</v>
      </c>
      <c r="C14" s="1">
        <v>79.2</v>
      </c>
      <c r="D14" s="1">
        <v>53.37</v>
      </c>
      <c r="E14" s="1">
        <v>53.77</v>
      </c>
      <c r="F14" s="1">
        <v>64.819999999999993</v>
      </c>
      <c r="G14" s="1">
        <v>23.6</v>
      </c>
    </row>
    <row r="15" spans="1:7" x14ac:dyDescent="0.25">
      <c r="A15" s="1" t="s">
        <v>19</v>
      </c>
      <c r="B15" s="1">
        <v>7</v>
      </c>
      <c r="C15" s="1">
        <v>5</v>
      </c>
      <c r="D15" s="1">
        <v>6</v>
      </c>
      <c r="E15" s="1">
        <v>5</v>
      </c>
      <c r="F15" s="1">
        <v>6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1125.28</v>
      </c>
      <c r="C17" s="1">
        <v>461.47</v>
      </c>
      <c r="D17" s="1">
        <v>686.06</v>
      </c>
      <c r="E17" s="1">
        <v>316.01</v>
      </c>
      <c r="F17" s="1">
        <v>478.49</v>
      </c>
      <c r="G17" s="1">
        <v>79.680000000000007</v>
      </c>
    </row>
    <row r="18" spans="1:7" x14ac:dyDescent="0.25">
      <c r="A18" s="1" t="s">
        <v>22</v>
      </c>
      <c r="B18" s="1">
        <v>0</v>
      </c>
      <c r="C18" s="1">
        <v>86.57</v>
      </c>
      <c r="D18" s="1">
        <v>43.61</v>
      </c>
      <c r="E18" s="1">
        <v>22.17</v>
      </c>
      <c r="F18" s="1">
        <v>105.33</v>
      </c>
      <c r="G18" s="1">
        <v>30.62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2.2000000000000002</v>
      </c>
      <c r="E20" s="1">
        <v>0</v>
      </c>
      <c r="F20" s="1">
        <v>0</v>
      </c>
      <c r="G20" s="1">
        <v>1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7.8</v>
      </c>
      <c r="E21" s="1">
        <v>10</v>
      </c>
      <c r="F21" s="1">
        <v>10</v>
      </c>
      <c r="G21" s="1">
        <v>8.9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3.9</v>
      </c>
      <c r="D25" s="1">
        <v>3.5</v>
      </c>
      <c r="E25" s="1">
        <v>6.4</v>
      </c>
      <c r="F25" s="1">
        <v>4.9000000000000004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6.1</v>
      </c>
      <c r="D26" s="1">
        <v>6.5</v>
      </c>
      <c r="E26" s="1">
        <v>3.6</v>
      </c>
      <c r="F26" s="1">
        <v>5.0999999999999996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39</v>
      </c>
      <c r="D30" s="3">
        <f t="shared" si="2"/>
        <v>35</v>
      </c>
      <c r="E30" s="3">
        <f t="shared" si="2"/>
        <v>64</v>
      </c>
      <c r="F30" s="3">
        <f t="shared" si="2"/>
        <v>49.000000000000007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61</v>
      </c>
      <c r="D31" s="3">
        <f t="shared" si="3"/>
        <v>65</v>
      </c>
      <c r="E31" s="3">
        <f t="shared" si="3"/>
        <v>36</v>
      </c>
      <c r="F31" s="3">
        <f t="shared" si="3"/>
        <v>51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115.22</v>
      </c>
      <c r="C33" s="3">
        <v>37.86</v>
      </c>
      <c r="D33" s="3">
        <v>63.84</v>
      </c>
      <c r="E33" s="3">
        <v>31.56</v>
      </c>
      <c r="F33" s="3">
        <v>40.98</v>
      </c>
      <c r="G33" s="3">
        <v>4.17</v>
      </c>
    </row>
    <row r="35" spans="1:7" x14ac:dyDescent="0.25">
      <c r="A35" s="3" t="s">
        <v>36</v>
      </c>
      <c r="B35" s="3"/>
      <c r="C35" s="3"/>
      <c r="D35" s="3">
        <f>D33-C33</f>
        <v>25.980000000000004</v>
      </c>
      <c r="E35" s="3"/>
      <c r="F35" s="3">
        <f>F33-E33</f>
        <v>9.4199999999999982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-32.28</v>
      </c>
      <c r="F37" s="3"/>
      <c r="G37" s="3">
        <f>G33-F33</f>
        <v>-36.809999999999995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1F44-4174-4F7B-916D-4642C13797EE}">
  <dimension ref="A1:G37"/>
  <sheetViews>
    <sheetView topLeftCell="A10" workbookViewId="0">
      <selection activeCell="M30" sqref="M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524.66999999999996</v>
      </c>
      <c r="C2" s="1">
        <v>512.35</v>
      </c>
      <c r="D2" s="1">
        <v>533.98</v>
      </c>
      <c r="E2" s="1">
        <v>535.4</v>
      </c>
      <c r="F2" s="1">
        <v>541.34</v>
      </c>
      <c r="G2" s="1">
        <v>519.79</v>
      </c>
    </row>
    <row r="3" spans="1:7" x14ac:dyDescent="0.25">
      <c r="A3" s="1" t="s">
        <v>7</v>
      </c>
      <c r="B3" s="1">
        <v>43.63</v>
      </c>
      <c r="C3" s="1">
        <v>43.69</v>
      </c>
      <c r="D3" s="1">
        <v>44.59</v>
      </c>
      <c r="E3" s="1">
        <v>47.87</v>
      </c>
      <c r="F3" s="1">
        <v>46.88</v>
      </c>
      <c r="G3" s="1">
        <v>45.44</v>
      </c>
    </row>
    <row r="4" spans="1:7" x14ac:dyDescent="0.25">
      <c r="A4" s="1" t="s">
        <v>8</v>
      </c>
      <c r="B4" s="1">
        <v>23264</v>
      </c>
      <c r="C4" s="1">
        <v>22780.1</v>
      </c>
      <c r="D4" s="1">
        <v>24196.27</v>
      </c>
      <c r="E4" s="1">
        <v>26044.66</v>
      </c>
      <c r="F4" s="1">
        <v>25833.33</v>
      </c>
      <c r="G4" s="1">
        <v>23990.080000000002</v>
      </c>
    </row>
    <row r="5" spans="1:7" x14ac:dyDescent="0.25">
      <c r="A5" s="1" t="s">
        <v>9</v>
      </c>
      <c r="B5" s="1">
        <v>546.96</v>
      </c>
      <c r="C5" s="1">
        <v>870.83</v>
      </c>
      <c r="D5" s="1">
        <v>472.53</v>
      </c>
      <c r="E5" s="1">
        <v>1509.3</v>
      </c>
      <c r="F5" s="1">
        <v>1602.74</v>
      </c>
      <c r="G5" s="1">
        <v>945.03</v>
      </c>
    </row>
    <row r="6" spans="1:7" x14ac:dyDescent="0.25">
      <c r="A6" s="3" t="s">
        <v>10</v>
      </c>
      <c r="B6" s="3">
        <v>54.7</v>
      </c>
      <c r="C6" s="3">
        <v>87.96</v>
      </c>
      <c r="D6" s="3">
        <v>47.73</v>
      </c>
      <c r="E6" s="3">
        <v>152.44999999999999</v>
      </c>
      <c r="F6" s="3">
        <v>161.88999999999999</v>
      </c>
      <c r="G6" s="3">
        <v>96.43</v>
      </c>
    </row>
    <row r="7" spans="1:7" x14ac:dyDescent="0.25">
      <c r="A7" s="1" t="s">
        <v>11</v>
      </c>
      <c r="B7" s="1">
        <v>521.66</v>
      </c>
      <c r="C7" s="1">
        <v>824.41</v>
      </c>
      <c r="D7" s="1">
        <v>449.71</v>
      </c>
      <c r="E7" s="1">
        <v>1438.16</v>
      </c>
      <c r="F7" s="1">
        <v>1559.64</v>
      </c>
      <c r="G7" s="1">
        <v>906.18</v>
      </c>
    </row>
    <row r="8" spans="1:7" x14ac:dyDescent="0.25">
      <c r="A8" s="1" t="s">
        <v>12</v>
      </c>
      <c r="B8" s="1">
        <v>52.17</v>
      </c>
      <c r="C8" s="1">
        <v>83.27</v>
      </c>
      <c r="D8" s="1">
        <v>45.42</v>
      </c>
      <c r="E8" s="1">
        <v>145.27000000000001</v>
      </c>
      <c r="F8" s="1">
        <v>157.54</v>
      </c>
      <c r="G8" s="1">
        <v>92.47</v>
      </c>
    </row>
    <row r="9" spans="1:7" x14ac:dyDescent="0.25">
      <c r="A9" s="1" t="s">
        <v>13</v>
      </c>
      <c r="B9" s="1">
        <v>466.12</v>
      </c>
      <c r="C9" s="1">
        <v>824.41</v>
      </c>
      <c r="D9" s="1">
        <v>442.17</v>
      </c>
      <c r="E9" s="1">
        <v>1438.16</v>
      </c>
      <c r="F9" s="1">
        <v>1559.64</v>
      </c>
      <c r="G9" s="1">
        <v>905.2</v>
      </c>
    </row>
    <row r="10" spans="1:7" x14ac:dyDescent="0.25">
      <c r="A10" s="1" t="s">
        <v>14</v>
      </c>
      <c r="B10" s="1">
        <v>46.61</v>
      </c>
      <c r="C10" s="1">
        <v>83.27</v>
      </c>
      <c r="D10" s="1">
        <v>44.66</v>
      </c>
      <c r="E10" s="1">
        <v>145.27000000000001</v>
      </c>
      <c r="F10" s="1">
        <v>157.54</v>
      </c>
      <c r="G10" s="1">
        <v>92.37</v>
      </c>
    </row>
    <row r="11" spans="1:7" x14ac:dyDescent="0.25">
      <c r="A11" s="1" t="s">
        <v>15</v>
      </c>
      <c r="B11" s="1">
        <v>363.71</v>
      </c>
      <c r="C11" s="1">
        <v>578.17999999999995</v>
      </c>
      <c r="D11" s="1">
        <v>290.57</v>
      </c>
      <c r="E11" s="1">
        <v>805.81</v>
      </c>
      <c r="F11" s="1">
        <v>1207.6600000000001</v>
      </c>
      <c r="G11" s="1">
        <v>585.29</v>
      </c>
    </row>
    <row r="12" spans="1:7" x14ac:dyDescent="0.25">
      <c r="A12" s="1" t="s">
        <v>16</v>
      </c>
      <c r="B12" s="1">
        <v>275.08999999999997</v>
      </c>
      <c r="C12" s="1">
        <v>264.31</v>
      </c>
      <c r="D12" s="1">
        <v>252.64</v>
      </c>
      <c r="E12" s="1">
        <v>263.95</v>
      </c>
      <c r="F12" s="1">
        <v>296.05</v>
      </c>
      <c r="G12" s="1">
        <v>249.94</v>
      </c>
    </row>
    <row r="13" spans="1:7" x14ac:dyDescent="0.25">
      <c r="A13" s="1" t="s">
        <v>17</v>
      </c>
      <c r="B13" s="1">
        <v>42.17</v>
      </c>
      <c r="C13" s="1">
        <v>44.37</v>
      </c>
      <c r="D13" s="1">
        <v>53.87</v>
      </c>
      <c r="E13" s="1">
        <v>56.45</v>
      </c>
      <c r="F13" s="1">
        <v>48.88</v>
      </c>
      <c r="G13" s="1">
        <v>56.81</v>
      </c>
    </row>
    <row r="14" spans="1:7" x14ac:dyDescent="0.25">
      <c r="A14" s="1" t="s">
        <v>18</v>
      </c>
      <c r="B14" s="1">
        <v>90.13</v>
      </c>
      <c r="C14" s="1">
        <v>93.28</v>
      </c>
      <c r="D14" s="1">
        <v>87.71</v>
      </c>
      <c r="E14" s="1">
        <v>95.12</v>
      </c>
      <c r="F14" s="1">
        <v>81.77</v>
      </c>
      <c r="G14" s="1">
        <v>101.81</v>
      </c>
    </row>
    <row r="15" spans="1:7" x14ac:dyDescent="0.25">
      <c r="A15" s="1" t="s">
        <v>19</v>
      </c>
      <c r="B15" s="1">
        <v>1</v>
      </c>
      <c r="C15" s="1">
        <v>4</v>
      </c>
      <c r="D15" s="1">
        <v>3</v>
      </c>
      <c r="E15" s="1">
        <v>6</v>
      </c>
      <c r="F15" s="1">
        <v>9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493.89</v>
      </c>
      <c r="C17" s="1">
        <v>824.41</v>
      </c>
      <c r="D17" s="1">
        <v>445.94</v>
      </c>
      <c r="E17" s="1">
        <v>1438.16</v>
      </c>
      <c r="F17" s="1">
        <v>1559.64</v>
      </c>
      <c r="G17" s="1">
        <v>905.69</v>
      </c>
    </row>
    <row r="18" spans="1:7" x14ac:dyDescent="0.25">
      <c r="A18" s="1" t="s">
        <v>22</v>
      </c>
      <c r="B18" s="1">
        <v>27.77</v>
      </c>
      <c r="C18" s="1">
        <v>0</v>
      </c>
      <c r="D18" s="1">
        <v>3.77</v>
      </c>
      <c r="E18" s="1">
        <v>0</v>
      </c>
      <c r="F18" s="1">
        <v>0</v>
      </c>
      <c r="G18" s="1">
        <v>0.49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2.6</v>
      </c>
      <c r="C25" s="1">
        <v>0</v>
      </c>
      <c r="D25" s="1">
        <v>3.8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7.5</v>
      </c>
      <c r="C26" s="1">
        <v>10</v>
      </c>
      <c r="D26" s="1">
        <v>6.2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25.742574257425744</v>
      </c>
      <c r="C30" s="3">
        <f t="shared" ref="C30:G30" si="2">C25/C28*100</f>
        <v>0</v>
      </c>
      <c r="D30" s="3">
        <f t="shared" si="2"/>
        <v>38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74.257425742574256</v>
      </c>
      <c r="C31" s="3">
        <f t="shared" ref="C31:G31" si="3">C26/C28*100</f>
        <v>100</v>
      </c>
      <c r="D31" s="3">
        <f t="shared" si="3"/>
        <v>62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48.22</v>
      </c>
      <c r="C33" s="3">
        <v>86.79</v>
      </c>
      <c r="D33" s="3">
        <v>47.51</v>
      </c>
      <c r="E33" s="3">
        <v>150.15</v>
      </c>
      <c r="F33" s="3">
        <v>160.28</v>
      </c>
      <c r="G33" s="3">
        <v>97.81</v>
      </c>
    </row>
    <row r="35" spans="1:7" x14ac:dyDescent="0.25">
      <c r="A35" s="3" t="s">
        <v>36</v>
      </c>
      <c r="B35" s="3"/>
      <c r="C35" s="3"/>
      <c r="D35" s="3">
        <f>D33-C33</f>
        <v>-39.280000000000008</v>
      </c>
      <c r="E35" s="3"/>
      <c r="F35" s="3">
        <f>F33-E33</f>
        <v>10.129999999999995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102.64000000000001</v>
      </c>
      <c r="F37" s="3"/>
      <c r="G37" s="3">
        <f>G33-F33</f>
        <v>-62.47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0FED-6E8C-4ECA-9D95-03FEB4F89B5B}">
  <dimension ref="A1:G37"/>
  <sheetViews>
    <sheetView tabSelected="1" workbookViewId="0">
      <selection sqref="A1:XFD104857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240203C001.1</vt:lpstr>
      <vt:lpstr>240203C001.3</vt:lpstr>
      <vt:lpstr>240203C002.4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2024-02-08T00:24:39Z</dcterms:created>
  <dcterms:modified xsi:type="dcterms:W3CDTF">2024-02-09T17:53:02Z</dcterms:modified>
</cp:coreProperties>
</file>