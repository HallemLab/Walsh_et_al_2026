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0904\WormLab Data\"/>
    </mc:Choice>
  </mc:AlternateContent>
  <xr:revisionPtr revIDLastSave="0" documentId="13_ncr:1_{86EA7A25-E6D2-43FD-B135-2FA21AD44E30}" xr6:coauthVersionLast="36" xr6:coauthVersionMax="36" xr10:uidLastSave="{00000000-0000-0000-0000-000000000000}"/>
  <bookViews>
    <workbookView xWindow="0" yWindow="0" windowWidth="25755" windowHeight="11640" activeTab="3" xr2:uid="{8F0E012E-67D5-4537-962C-E0433E68D28C}"/>
  </bookViews>
  <sheets>
    <sheet name="230904C002.1" sheetId="2" r:id="rId1"/>
    <sheet name="230904C002.2" sheetId="3" r:id="rId2"/>
    <sheet name="230904C002.3" sheetId="1" r:id="rId3"/>
    <sheet name="templat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4" l="1"/>
  <c r="E37" i="4"/>
  <c r="C37" i="4"/>
  <c r="F35" i="4"/>
  <c r="D35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G28" i="4"/>
  <c r="F28" i="4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G31" i="3"/>
  <c r="F31" i="3"/>
  <c r="E31" i="3"/>
  <c r="B31" i="3"/>
  <c r="G30" i="3"/>
  <c r="F30" i="3"/>
  <c r="E30" i="3"/>
  <c r="C30" i="3"/>
  <c r="B30" i="3"/>
  <c r="G29" i="3"/>
  <c r="F29" i="3"/>
  <c r="E29" i="3"/>
  <c r="G28" i="3"/>
  <c r="F28" i="3"/>
  <c r="E28" i="3"/>
  <c r="D28" i="3"/>
  <c r="D29" i="3" s="1"/>
  <c r="C28" i="3"/>
  <c r="C31" i="3" s="1"/>
  <c r="B28" i="3"/>
  <c r="B29" i="3" s="1"/>
  <c r="G37" i="2"/>
  <c r="E37" i="2"/>
  <c r="C37" i="2"/>
  <c r="F35" i="2"/>
  <c r="D35" i="2"/>
  <c r="G28" i="2"/>
  <c r="G31" i="2" s="1"/>
  <c r="F28" i="2"/>
  <c r="F31" i="2" s="1"/>
  <c r="E28" i="2"/>
  <c r="E30" i="2" s="1"/>
  <c r="D28" i="2"/>
  <c r="D29" i="2" s="1"/>
  <c r="C28" i="2"/>
  <c r="C31" i="2" s="1"/>
  <c r="B28" i="2"/>
  <c r="B31" i="2" s="1"/>
  <c r="D31" i="3" l="1"/>
  <c r="C29" i="3"/>
  <c r="D30" i="3"/>
  <c r="D30" i="2"/>
  <c r="F30" i="2"/>
  <c r="D31" i="2"/>
  <c r="G30" i="2"/>
  <c r="E31" i="2"/>
  <c r="B29" i="2"/>
  <c r="G29" i="2"/>
  <c r="E29" i="2"/>
  <c r="B30" i="2"/>
  <c r="C29" i="2"/>
  <c r="F29" i="2"/>
  <c r="C30" i="2"/>
  <c r="G37" i="1"/>
  <c r="E37" i="1"/>
  <c r="C37" i="1"/>
  <c r="F35" i="1"/>
  <c r="D35" i="1"/>
  <c r="G28" i="1"/>
  <c r="G31" i="1" s="1"/>
  <c r="F28" i="1"/>
  <c r="F31" i="1" s="1"/>
  <c r="E28" i="1"/>
  <c r="E31" i="1" s="1"/>
  <c r="D28" i="1"/>
  <c r="D31" i="1" s="1"/>
  <c r="C28" i="1"/>
  <c r="C29" i="1" s="1"/>
  <c r="B28" i="1"/>
  <c r="B29" i="1" s="1"/>
  <c r="E29" i="1" l="1"/>
  <c r="F29" i="1"/>
  <c r="G29" i="1"/>
  <c r="D29" i="1"/>
  <c r="B30" i="1"/>
  <c r="C30" i="1"/>
  <c r="D30" i="1"/>
  <c r="E30" i="1"/>
  <c r="F30" i="1"/>
  <c r="G30" i="1"/>
  <c r="B31" i="1"/>
  <c r="C31" i="1"/>
</calcChain>
</file>

<file path=xl/sharedStrings.xml><?xml version="1.0" encoding="utf-8"?>
<sst xmlns="http://schemas.openxmlformats.org/spreadsheetml/2006/main" count="152" uniqueCount="37">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</sst>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B67F-1B6F-4132-A65F-12B82902CDD8}">
  <dimension ref="A1:G37"/>
  <sheetViews>
    <sheetView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552.80999999999995</v>
      </c>
      <c r="C2" s="1">
        <v>557.19000000000005</v>
      </c>
      <c r="D2" s="1">
        <v>511.92</v>
      </c>
      <c r="E2" s="1">
        <v>461.68</v>
      </c>
      <c r="F2" s="1">
        <v>484.52</v>
      </c>
      <c r="G2" s="1">
        <v>301.5</v>
      </c>
    </row>
    <row r="3" spans="1:7" x14ac:dyDescent="0.25">
      <c r="A3" s="1" t="s">
        <v>7</v>
      </c>
      <c r="B3" s="1">
        <v>52.97</v>
      </c>
      <c r="C3" s="1">
        <v>52.94</v>
      </c>
      <c r="D3" s="1">
        <v>54.61</v>
      </c>
      <c r="E3" s="1">
        <v>57.04</v>
      </c>
      <c r="F3" s="1">
        <v>48.49</v>
      </c>
      <c r="G3" s="1">
        <v>35.619999999999997</v>
      </c>
    </row>
    <row r="4" spans="1:7" x14ac:dyDescent="0.25">
      <c r="A4" s="1" t="s">
        <v>8</v>
      </c>
      <c r="B4" s="1">
        <v>29778.44</v>
      </c>
      <c r="C4" s="1">
        <v>29990.46</v>
      </c>
      <c r="D4" s="1">
        <v>28394.62</v>
      </c>
      <c r="E4" s="1">
        <v>26802.22</v>
      </c>
      <c r="F4" s="1">
        <v>23798.12</v>
      </c>
      <c r="G4" s="1">
        <v>11045.4</v>
      </c>
    </row>
    <row r="5" spans="1:7" x14ac:dyDescent="0.25">
      <c r="A5" s="1" t="s">
        <v>9</v>
      </c>
      <c r="B5" s="1">
        <v>124.61</v>
      </c>
      <c r="C5" s="1">
        <v>186.49</v>
      </c>
      <c r="D5" s="1">
        <v>427.14</v>
      </c>
      <c r="E5" s="1">
        <v>524.80999999999995</v>
      </c>
      <c r="F5" s="1">
        <v>515.37</v>
      </c>
      <c r="G5" s="1">
        <v>330.25</v>
      </c>
    </row>
    <row r="6" spans="1:7" x14ac:dyDescent="0.25">
      <c r="A6" s="3" t="s">
        <v>10</v>
      </c>
      <c r="B6" s="3">
        <v>12.46</v>
      </c>
      <c r="C6" s="3">
        <v>18.84</v>
      </c>
      <c r="D6" s="3">
        <v>43.15</v>
      </c>
      <c r="E6" s="3">
        <v>53.01</v>
      </c>
      <c r="F6" s="3">
        <v>52.06</v>
      </c>
      <c r="G6" s="3">
        <v>33.700000000000003</v>
      </c>
    </row>
    <row r="7" spans="1:7" x14ac:dyDescent="0.25">
      <c r="A7" s="1" t="s">
        <v>11</v>
      </c>
      <c r="B7" s="1">
        <v>116.75</v>
      </c>
      <c r="C7" s="1">
        <v>181.22</v>
      </c>
      <c r="D7" s="1">
        <v>408.63</v>
      </c>
      <c r="E7" s="1">
        <v>435.65</v>
      </c>
      <c r="F7" s="1">
        <v>474.83</v>
      </c>
      <c r="G7" s="1">
        <v>302.93</v>
      </c>
    </row>
    <row r="8" spans="1:7" x14ac:dyDescent="0.25">
      <c r="A8" s="1" t="s">
        <v>12</v>
      </c>
      <c r="B8" s="1">
        <v>11.68</v>
      </c>
      <c r="C8" s="1">
        <v>18.309999999999999</v>
      </c>
      <c r="D8" s="1">
        <v>41.28</v>
      </c>
      <c r="E8" s="1">
        <v>44.01</v>
      </c>
      <c r="F8" s="1">
        <v>47.96</v>
      </c>
      <c r="G8" s="1">
        <v>30.91</v>
      </c>
    </row>
    <row r="9" spans="1:7" x14ac:dyDescent="0.25">
      <c r="A9" s="1" t="s">
        <v>13</v>
      </c>
      <c r="B9" s="1">
        <v>-13.59</v>
      </c>
      <c r="C9" s="1">
        <v>-19.59</v>
      </c>
      <c r="D9" s="1">
        <v>263.88</v>
      </c>
      <c r="E9" s="1">
        <v>310.20999999999998</v>
      </c>
      <c r="F9" s="1">
        <v>251.19</v>
      </c>
      <c r="G9" s="1">
        <v>203.7</v>
      </c>
    </row>
    <row r="10" spans="1:7" x14ac:dyDescent="0.25">
      <c r="A10" s="1" t="s">
        <v>14</v>
      </c>
      <c r="B10" s="1">
        <v>-1.36</v>
      </c>
      <c r="C10" s="1">
        <v>-1.98</v>
      </c>
      <c r="D10" s="1">
        <v>26.65</v>
      </c>
      <c r="E10" s="1">
        <v>31.33</v>
      </c>
      <c r="F10" s="1">
        <v>25.37</v>
      </c>
      <c r="G10" s="1">
        <v>20.79</v>
      </c>
    </row>
    <row r="11" spans="1:7" x14ac:dyDescent="0.25">
      <c r="A11" s="1" t="s">
        <v>15</v>
      </c>
      <c r="B11" s="1">
        <v>5.77</v>
      </c>
      <c r="C11" s="1">
        <v>1.5</v>
      </c>
      <c r="D11" s="1">
        <v>194.69</v>
      </c>
      <c r="E11" s="1">
        <v>112.86</v>
      </c>
      <c r="F11" s="1">
        <v>206.11</v>
      </c>
      <c r="G11" s="1">
        <v>198.84</v>
      </c>
    </row>
    <row r="12" spans="1:7" x14ac:dyDescent="0.25">
      <c r="A12" s="1" t="s">
        <v>16</v>
      </c>
      <c r="B12" s="1">
        <v>238.23</v>
      </c>
      <c r="C12" s="1">
        <v>254.52</v>
      </c>
      <c r="D12" s="1">
        <v>219.09</v>
      </c>
      <c r="E12" s="1">
        <v>175.57</v>
      </c>
      <c r="F12" s="1">
        <v>233.95</v>
      </c>
      <c r="G12" s="1">
        <v>179.62</v>
      </c>
    </row>
    <row r="13" spans="1:7" x14ac:dyDescent="0.25">
      <c r="A13" s="1" t="s">
        <v>17</v>
      </c>
      <c r="B13" s="1">
        <v>25.03</v>
      </c>
      <c r="C13" s="1">
        <v>25.38</v>
      </c>
      <c r="D13" s="1">
        <v>30.11</v>
      </c>
      <c r="E13" s="1">
        <v>41.61</v>
      </c>
      <c r="F13" s="1">
        <v>31.3</v>
      </c>
      <c r="G13" s="1">
        <v>17.84</v>
      </c>
    </row>
    <row r="14" spans="1:7" x14ac:dyDescent="0.25">
      <c r="A14" s="1" t="s">
        <v>18</v>
      </c>
      <c r="B14" s="1">
        <v>30.86</v>
      </c>
      <c r="C14" s="1">
        <v>32.880000000000003</v>
      </c>
      <c r="D14" s="1">
        <v>75.5</v>
      </c>
      <c r="E14" s="1">
        <v>87.08</v>
      </c>
      <c r="F14" s="1">
        <v>80.89</v>
      </c>
      <c r="G14" s="1">
        <v>32.76</v>
      </c>
    </row>
    <row r="15" spans="1:7" x14ac:dyDescent="0.25">
      <c r="A15" s="1" t="s">
        <v>19</v>
      </c>
      <c r="B15" s="1">
        <v>1</v>
      </c>
      <c r="C15" s="1">
        <v>1</v>
      </c>
      <c r="D15" s="1">
        <v>2</v>
      </c>
      <c r="E15" s="1">
        <v>4</v>
      </c>
      <c r="F15" s="1">
        <v>4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51.58</v>
      </c>
      <c r="C17" s="1">
        <v>80.819999999999993</v>
      </c>
      <c r="D17" s="1">
        <v>336.25</v>
      </c>
      <c r="E17" s="1">
        <v>372.93</v>
      </c>
      <c r="F17" s="1">
        <v>363.01</v>
      </c>
      <c r="G17" s="1">
        <v>253.32</v>
      </c>
    </row>
    <row r="18" spans="1:7" x14ac:dyDescent="0.25">
      <c r="A18" s="1" t="s">
        <v>22</v>
      </c>
      <c r="B18" s="1">
        <v>65.17</v>
      </c>
      <c r="C18" s="1">
        <v>100.41</v>
      </c>
      <c r="D18" s="1">
        <v>72.37</v>
      </c>
      <c r="E18" s="1">
        <v>62.72</v>
      </c>
      <c r="F18" s="1">
        <v>111.82</v>
      </c>
      <c r="G18" s="1">
        <v>49.61</v>
      </c>
    </row>
    <row r="19" spans="1:7" x14ac:dyDescent="0.25">
      <c r="A19" s="1" t="s">
        <v>23</v>
      </c>
      <c r="B19" s="1">
        <v>2</v>
      </c>
      <c r="C19" s="1">
        <v>1</v>
      </c>
      <c r="D19" s="1">
        <v>1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2.2999999999999998</v>
      </c>
      <c r="C20" s="1">
        <v>2.5</v>
      </c>
      <c r="D20" s="1">
        <v>2.1</v>
      </c>
      <c r="E20" s="1">
        <v>1.1000000000000001</v>
      </c>
      <c r="F20" s="1">
        <v>0</v>
      </c>
      <c r="G20" s="1">
        <v>0</v>
      </c>
    </row>
    <row r="21" spans="1:7" x14ac:dyDescent="0.25">
      <c r="A21" s="1" t="s">
        <v>25</v>
      </c>
      <c r="B21" s="1">
        <v>7.8</v>
      </c>
      <c r="C21" s="1">
        <v>7.5</v>
      </c>
      <c r="D21" s="1">
        <v>7.9</v>
      </c>
      <c r="E21" s="1">
        <v>8.9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6</v>
      </c>
      <c r="E25" s="1">
        <v>4</v>
      </c>
      <c r="F25" s="1">
        <v>7.2</v>
      </c>
      <c r="G25" s="1">
        <v>8.5</v>
      </c>
    </row>
    <row r="26" spans="1:7" x14ac:dyDescent="0.25">
      <c r="A26" s="1" t="s">
        <v>30</v>
      </c>
      <c r="B26" s="1">
        <v>0</v>
      </c>
      <c r="C26" s="1">
        <v>0</v>
      </c>
      <c r="D26" s="1">
        <v>4</v>
      </c>
      <c r="E26" s="1">
        <v>5</v>
      </c>
      <c r="F26" s="1">
        <v>2.8</v>
      </c>
      <c r="G26" s="1">
        <v>1.4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60</v>
      </c>
      <c r="E30" s="3">
        <f t="shared" si="2"/>
        <v>40</v>
      </c>
      <c r="F30" s="3">
        <f t="shared" si="2"/>
        <v>72</v>
      </c>
      <c r="G30" s="3">
        <f t="shared" si="2"/>
        <v>85.858585858585855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40</v>
      </c>
      <c r="E31" s="3">
        <f t="shared" si="3"/>
        <v>50</v>
      </c>
      <c r="F31" s="3">
        <f t="shared" si="3"/>
        <v>27.999999999999996</v>
      </c>
      <c r="G31" s="3">
        <f t="shared" si="3"/>
        <v>14.14141414141414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-0.64</v>
      </c>
      <c r="C33" s="3">
        <v>0.51</v>
      </c>
      <c r="D33" s="3">
        <v>22.86</v>
      </c>
      <c r="E33" s="3">
        <v>29.02</v>
      </c>
      <c r="F33" s="3">
        <v>24.9</v>
      </c>
      <c r="G33" s="3">
        <v>22.21</v>
      </c>
    </row>
    <row r="35" spans="1:7" x14ac:dyDescent="0.25">
      <c r="A35" s="3" t="s">
        <v>36</v>
      </c>
      <c r="B35" s="3"/>
      <c r="C35" s="3"/>
      <c r="D35" s="3">
        <f>D33-C33</f>
        <v>22.349999999999998</v>
      </c>
      <c r="E35" s="3"/>
      <c r="F35" s="3">
        <f>F33-E33</f>
        <v>-4.120000000000001</v>
      </c>
      <c r="G35" s="3"/>
    </row>
    <row r="37" spans="1:7" x14ac:dyDescent="0.25">
      <c r="A37" s="3" t="s">
        <v>36</v>
      </c>
      <c r="B37" s="3"/>
      <c r="C37" s="3">
        <f>C33-B33</f>
        <v>1.1499999999999999</v>
      </c>
      <c r="D37" s="3"/>
      <c r="E37" s="3">
        <f>E33-D33</f>
        <v>6.16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B220-0386-4C0E-8AC8-14C4C8E39941}">
  <dimension ref="A1:G37"/>
  <sheetViews>
    <sheetView topLeftCell="A13" workbookViewId="0">
      <selection activeCell="A40" sqref="A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295.13</v>
      </c>
      <c r="C2" s="1">
        <v>238.74</v>
      </c>
      <c r="D2" s="1">
        <v>297.62</v>
      </c>
      <c r="E2" s="1">
        <v>327.79</v>
      </c>
      <c r="F2" s="1">
        <v>325.16000000000003</v>
      </c>
      <c r="G2" s="1">
        <v>305.2</v>
      </c>
    </row>
    <row r="3" spans="1:7" x14ac:dyDescent="0.25">
      <c r="A3" s="1" t="s">
        <v>7</v>
      </c>
      <c r="B3" s="1">
        <v>37.21</v>
      </c>
      <c r="C3" s="1">
        <v>37.82</v>
      </c>
      <c r="D3" s="1">
        <v>44.84</v>
      </c>
      <c r="E3" s="1">
        <v>47.47</v>
      </c>
      <c r="F3" s="1">
        <v>43.97</v>
      </c>
      <c r="G3" s="1">
        <v>36.380000000000003</v>
      </c>
    </row>
    <row r="4" spans="1:7" x14ac:dyDescent="0.25">
      <c r="A4" s="1" t="s">
        <v>8</v>
      </c>
      <c r="B4" s="1">
        <v>11169.62</v>
      </c>
      <c r="C4" s="1">
        <v>9183.7000000000007</v>
      </c>
      <c r="D4" s="1">
        <v>13778.33</v>
      </c>
      <c r="E4" s="1">
        <v>15843.47</v>
      </c>
      <c r="F4" s="1">
        <v>14542.39</v>
      </c>
      <c r="G4" s="1">
        <v>11287.01</v>
      </c>
    </row>
    <row r="5" spans="1:7" x14ac:dyDescent="0.25">
      <c r="A5" s="1" t="s">
        <v>9</v>
      </c>
      <c r="B5" s="1">
        <v>529.65</v>
      </c>
      <c r="C5" s="1">
        <v>320.41000000000003</v>
      </c>
      <c r="D5" s="1">
        <v>472.69</v>
      </c>
      <c r="E5" s="1">
        <v>470.6</v>
      </c>
      <c r="F5" s="1">
        <v>418.8</v>
      </c>
      <c r="G5" s="1">
        <v>404.43</v>
      </c>
    </row>
    <row r="6" spans="1:7" x14ac:dyDescent="0.25">
      <c r="A6" s="3" t="s">
        <v>10</v>
      </c>
      <c r="B6" s="3">
        <v>52.97</v>
      </c>
      <c r="C6" s="3">
        <v>32.369999999999997</v>
      </c>
      <c r="D6" s="3">
        <v>47.75</v>
      </c>
      <c r="E6" s="3">
        <v>47.54</v>
      </c>
      <c r="F6" s="3">
        <v>42.3</v>
      </c>
      <c r="G6" s="3">
        <v>41.27</v>
      </c>
    </row>
    <row r="7" spans="1:7" x14ac:dyDescent="0.25">
      <c r="A7" s="1" t="s">
        <v>11</v>
      </c>
      <c r="B7" s="1">
        <v>437.37</v>
      </c>
      <c r="C7" s="1">
        <v>304.14999999999998</v>
      </c>
      <c r="D7" s="1">
        <v>365.35</v>
      </c>
      <c r="E7" s="1">
        <v>408.38</v>
      </c>
      <c r="F7" s="1">
        <v>330.74</v>
      </c>
      <c r="G7" s="1">
        <v>365.37</v>
      </c>
    </row>
    <row r="8" spans="1:7" x14ac:dyDescent="0.25">
      <c r="A8" s="1" t="s">
        <v>12</v>
      </c>
      <c r="B8" s="1">
        <v>43.74</v>
      </c>
      <c r="C8" s="1">
        <v>30.72</v>
      </c>
      <c r="D8" s="1">
        <v>36.9</v>
      </c>
      <c r="E8" s="1">
        <v>41.25</v>
      </c>
      <c r="F8" s="1">
        <v>33.409999999999997</v>
      </c>
      <c r="G8" s="1">
        <v>37.28</v>
      </c>
    </row>
    <row r="9" spans="1:7" x14ac:dyDescent="0.25">
      <c r="A9" s="1" t="s">
        <v>13</v>
      </c>
      <c r="B9" s="1">
        <v>-124.7</v>
      </c>
      <c r="C9" s="1">
        <v>97.85</v>
      </c>
      <c r="D9" s="1">
        <v>217.9</v>
      </c>
      <c r="E9" s="1">
        <v>180.61</v>
      </c>
      <c r="F9" s="1">
        <v>189.56</v>
      </c>
      <c r="G9" s="1">
        <v>124.49</v>
      </c>
    </row>
    <row r="10" spans="1:7" x14ac:dyDescent="0.25">
      <c r="A10" s="1" t="s">
        <v>14</v>
      </c>
      <c r="B10" s="1">
        <v>-12.47</v>
      </c>
      <c r="C10" s="1">
        <v>9.8800000000000008</v>
      </c>
      <c r="D10" s="1">
        <v>22.01</v>
      </c>
      <c r="E10" s="1">
        <v>18.239999999999998</v>
      </c>
      <c r="F10" s="1">
        <v>19.149999999999999</v>
      </c>
      <c r="G10" s="1">
        <v>12.7</v>
      </c>
    </row>
    <row r="11" spans="1:7" x14ac:dyDescent="0.25">
      <c r="A11" s="1" t="s">
        <v>15</v>
      </c>
      <c r="B11" s="1">
        <v>18.48</v>
      </c>
      <c r="C11" s="1">
        <v>98.84</v>
      </c>
      <c r="D11" s="1">
        <v>73.47</v>
      </c>
      <c r="E11" s="1">
        <v>125.88</v>
      </c>
      <c r="F11" s="1">
        <v>173.66</v>
      </c>
      <c r="G11" s="1">
        <v>40.22</v>
      </c>
    </row>
    <row r="12" spans="1:7" x14ac:dyDescent="0.25">
      <c r="A12" s="1" t="s">
        <v>16</v>
      </c>
      <c r="B12" s="1">
        <v>166.28</v>
      </c>
      <c r="C12" s="1">
        <v>128.16</v>
      </c>
      <c r="D12" s="1">
        <v>135.05000000000001</v>
      </c>
      <c r="E12" s="1">
        <v>135.9</v>
      </c>
      <c r="F12" s="1">
        <v>127.44</v>
      </c>
      <c r="G12" s="1">
        <v>164.31</v>
      </c>
    </row>
    <row r="13" spans="1:7" x14ac:dyDescent="0.25">
      <c r="A13" s="1" t="s">
        <v>17</v>
      </c>
      <c r="B13" s="1">
        <v>15.08</v>
      </c>
      <c r="C13" s="1">
        <v>15.4</v>
      </c>
      <c r="D13" s="1">
        <v>21.61</v>
      </c>
      <c r="E13" s="1">
        <v>47.97</v>
      </c>
      <c r="F13" s="1">
        <v>39.08</v>
      </c>
      <c r="G13" s="1">
        <v>10.63</v>
      </c>
    </row>
    <row r="14" spans="1:7" x14ac:dyDescent="0.25">
      <c r="A14" s="1" t="s">
        <v>18</v>
      </c>
      <c r="B14" s="1">
        <v>33.76</v>
      </c>
      <c r="C14" s="1">
        <v>33.01</v>
      </c>
      <c r="D14" s="1">
        <v>53.61</v>
      </c>
      <c r="E14" s="1">
        <v>70.55</v>
      </c>
      <c r="F14" s="1">
        <v>71.67</v>
      </c>
      <c r="G14" s="1">
        <v>36.15</v>
      </c>
    </row>
    <row r="15" spans="1:7" x14ac:dyDescent="0.25">
      <c r="A15" s="1" t="s">
        <v>19</v>
      </c>
      <c r="B15" s="1">
        <v>4</v>
      </c>
      <c r="C15" s="1">
        <v>2</v>
      </c>
      <c r="D15" s="1">
        <v>4</v>
      </c>
      <c r="E15" s="1">
        <v>1</v>
      </c>
      <c r="F15" s="1">
        <v>5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156.33000000000001</v>
      </c>
      <c r="C17" s="1">
        <v>201</v>
      </c>
      <c r="D17" s="1">
        <v>291.63</v>
      </c>
      <c r="E17" s="1">
        <v>294.49</v>
      </c>
      <c r="F17" s="1">
        <v>260.14999999999998</v>
      </c>
      <c r="G17" s="1">
        <v>244.93</v>
      </c>
    </row>
    <row r="18" spans="1:7" x14ac:dyDescent="0.25">
      <c r="A18" s="1" t="s">
        <v>22</v>
      </c>
      <c r="B18" s="1">
        <v>281.02999999999997</v>
      </c>
      <c r="C18" s="1">
        <v>103.15</v>
      </c>
      <c r="D18" s="1">
        <v>73.73</v>
      </c>
      <c r="E18" s="1">
        <v>113.89</v>
      </c>
      <c r="F18" s="1">
        <v>70.59</v>
      </c>
      <c r="G18" s="1">
        <v>120.44</v>
      </c>
    </row>
    <row r="19" spans="1:7" x14ac:dyDescent="0.25">
      <c r="A19" s="1" t="s">
        <v>23</v>
      </c>
      <c r="B19" s="1">
        <v>3</v>
      </c>
      <c r="C19" s="1">
        <v>1</v>
      </c>
      <c r="D19" s="1">
        <v>3</v>
      </c>
      <c r="E19" s="1">
        <v>2</v>
      </c>
      <c r="F19" s="1">
        <v>2</v>
      </c>
      <c r="G19" s="1">
        <v>2</v>
      </c>
    </row>
    <row r="20" spans="1:7" x14ac:dyDescent="0.25">
      <c r="A20" s="1" t="s">
        <v>24</v>
      </c>
      <c r="B20" s="1">
        <v>3.5</v>
      </c>
      <c r="C20" s="1">
        <v>2.7</v>
      </c>
      <c r="D20" s="1">
        <v>3.6</v>
      </c>
      <c r="E20" s="1">
        <v>2.9</v>
      </c>
      <c r="F20" s="1">
        <v>2.7</v>
      </c>
      <c r="G20" s="1">
        <v>4.3</v>
      </c>
    </row>
    <row r="21" spans="1:7" x14ac:dyDescent="0.25">
      <c r="A21" s="1" t="s">
        <v>25</v>
      </c>
      <c r="B21" s="1">
        <v>6.6</v>
      </c>
      <c r="C21" s="1">
        <v>7.3</v>
      </c>
      <c r="D21" s="1">
        <v>6.4</v>
      </c>
      <c r="E21" s="1">
        <v>7.1</v>
      </c>
      <c r="F21" s="1">
        <v>7.3</v>
      </c>
      <c r="G21" s="1">
        <v>5.6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1.1000000000000001</v>
      </c>
      <c r="G23" s="1">
        <v>0</v>
      </c>
    </row>
    <row r="24" spans="1:7" x14ac:dyDescent="0.25">
      <c r="A24" s="1" t="s">
        <v>28</v>
      </c>
      <c r="B24" s="1">
        <v>2.2999999999999998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6.8</v>
      </c>
      <c r="C25" s="1">
        <v>7.7</v>
      </c>
      <c r="D25" s="1">
        <v>6.1</v>
      </c>
      <c r="E25" s="1">
        <v>8.6</v>
      </c>
      <c r="F25" s="1">
        <v>6.6</v>
      </c>
      <c r="G25" s="1">
        <v>8.9</v>
      </c>
    </row>
    <row r="26" spans="1:7" x14ac:dyDescent="0.25">
      <c r="A26" s="1" t="s">
        <v>30</v>
      </c>
      <c r="B26" s="1">
        <v>1</v>
      </c>
      <c r="C26" s="1">
        <v>2.2999999999999998</v>
      </c>
      <c r="D26" s="1">
        <v>3.9</v>
      </c>
      <c r="E26" s="1">
        <v>1.4</v>
      </c>
      <c r="F26" s="1">
        <v>3.4</v>
      </c>
      <c r="G26" s="1">
        <v>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22.772277227722771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67.32673267326733</v>
      </c>
      <c r="C30" s="3">
        <f t="shared" ref="C30:G30" si="2">C25/C28*100</f>
        <v>77</v>
      </c>
      <c r="D30" s="3">
        <f t="shared" si="2"/>
        <v>61</v>
      </c>
      <c r="E30" s="3">
        <f t="shared" si="2"/>
        <v>86</v>
      </c>
      <c r="F30" s="3">
        <f t="shared" si="2"/>
        <v>65.999999999999986</v>
      </c>
      <c r="G30" s="3">
        <f t="shared" si="2"/>
        <v>89.898989898989896</v>
      </c>
    </row>
    <row r="31" spans="1:7" x14ac:dyDescent="0.25">
      <c r="A31" s="3" t="s">
        <v>34</v>
      </c>
      <c r="B31" s="3">
        <f>B26/B28*100</f>
        <v>9.9009900990099009</v>
      </c>
      <c r="C31" s="3">
        <f t="shared" ref="C31:G31" si="3">C26/C28*100</f>
        <v>23</v>
      </c>
      <c r="D31" s="3">
        <f t="shared" si="3"/>
        <v>39</v>
      </c>
      <c r="E31" s="3">
        <f t="shared" si="3"/>
        <v>13.999999999999998</v>
      </c>
      <c r="F31" s="3">
        <f t="shared" si="3"/>
        <v>34</v>
      </c>
      <c r="G31" s="3">
        <f t="shared" si="3"/>
        <v>10.1010101010101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-5.37</v>
      </c>
      <c r="C33" s="3">
        <v>10.02</v>
      </c>
      <c r="D33" s="3">
        <v>24.82</v>
      </c>
      <c r="E33" s="3">
        <v>14.34</v>
      </c>
      <c r="F33" s="3">
        <v>22.26</v>
      </c>
      <c r="G33" s="3">
        <v>1.83</v>
      </c>
    </row>
    <row r="35" spans="1:7" x14ac:dyDescent="0.25">
      <c r="A35" s="3" t="s">
        <v>36</v>
      </c>
      <c r="B35" s="3"/>
      <c r="C35" s="3"/>
      <c r="D35" s="3">
        <f>D33-C33</f>
        <v>14.8</v>
      </c>
      <c r="E35" s="3"/>
      <c r="F35" s="3">
        <f>F33-E33</f>
        <v>7.9200000000000017</v>
      </c>
      <c r="G35" s="3"/>
    </row>
    <row r="37" spans="1:7" x14ac:dyDescent="0.25">
      <c r="A37" s="3" t="s">
        <v>36</v>
      </c>
      <c r="B37" s="3"/>
      <c r="C37" s="3">
        <f>C33-B33</f>
        <v>15.39</v>
      </c>
      <c r="D37" s="3"/>
      <c r="E37" s="3">
        <f>E33-D33</f>
        <v>-10.48</v>
      </c>
      <c r="F37" s="3"/>
      <c r="G37" s="3">
        <f>G33-F33</f>
        <v>-20.43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0802-A48F-49AF-8525-89D9A15F0330}">
  <dimension ref="A1:G37"/>
  <sheetViews>
    <sheetView topLeftCell="A7" workbookViewId="0">
      <selection activeCell="M14" sqref="L14:M2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446.9</v>
      </c>
      <c r="C2" s="1">
        <v>430.78</v>
      </c>
      <c r="D2" s="1">
        <v>448.84</v>
      </c>
      <c r="E2" s="1">
        <v>430.04</v>
      </c>
      <c r="F2" s="1">
        <v>437.92</v>
      </c>
      <c r="G2" s="1">
        <v>349.95</v>
      </c>
    </row>
    <row r="3" spans="1:7" x14ac:dyDescent="0.25">
      <c r="A3" s="1" t="s">
        <v>7</v>
      </c>
      <c r="B3" s="1">
        <v>39.11</v>
      </c>
      <c r="C3" s="1">
        <v>41.74</v>
      </c>
      <c r="D3" s="1">
        <v>45.9</v>
      </c>
      <c r="E3" s="1">
        <v>43.22</v>
      </c>
      <c r="F3" s="1">
        <v>45.56</v>
      </c>
      <c r="G3" s="1">
        <v>40.6</v>
      </c>
    </row>
    <row r="4" spans="1:7" x14ac:dyDescent="0.25">
      <c r="A4" s="1" t="s">
        <v>8</v>
      </c>
      <c r="B4" s="1">
        <v>17747.18</v>
      </c>
      <c r="C4" s="1">
        <v>18290.810000000001</v>
      </c>
      <c r="D4" s="1">
        <v>20969.79</v>
      </c>
      <c r="E4" s="1">
        <v>19042.439999999999</v>
      </c>
      <c r="F4" s="1">
        <v>20279.59</v>
      </c>
      <c r="G4" s="1">
        <v>14454.09</v>
      </c>
    </row>
    <row r="5" spans="1:7" x14ac:dyDescent="0.25">
      <c r="A5" s="1" t="s">
        <v>9</v>
      </c>
      <c r="B5" s="1">
        <v>167.11</v>
      </c>
      <c r="C5" s="1">
        <v>75.59</v>
      </c>
      <c r="D5" s="1">
        <v>672.67</v>
      </c>
      <c r="E5" s="1">
        <v>952.4</v>
      </c>
      <c r="F5" s="1">
        <v>425.85</v>
      </c>
      <c r="G5" s="1">
        <v>187.99</v>
      </c>
    </row>
    <row r="6" spans="1:7" x14ac:dyDescent="0.25">
      <c r="A6" s="3" t="s">
        <v>10</v>
      </c>
      <c r="B6" s="3">
        <v>16.71</v>
      </c>
      <c r="C6" s="3">
        <v>7.64</v>
      </c>
      <c r="D6" s="3">
        <v>67.95</v>
      </c>
      <c r="E6" s="3">
        <v>96.2</v>
      </c>
      <c r="F6" s="3">
        <v>43.01</v>
      </c>
      <c r="G6" s="3">
        <v>19.18</v>
      </c>
    </row>
    <row r="7" spans="1:7" x14ac:dyDescent="0.25">
      <c r="A7" s="1" t="s">
        <v>11</v>
      </c>
      <c r="B7" s="1">
        <v>161.68</v>
      </c>
      <c r="C7" s="1">
        <v>69.48</v>
      </c>
      <c r="D7" s="1">
        <v>622.79</v>
      </c>
      <c r="E7" s="1">
        <v>860.55</v>
      </c>
      <c r="F7" s="1">
        <v>386.48</v>
      </c>
      <c r="G7" s="1">
        <v>176.62</v>
      </c>
    </row>
    <row r="8" spans="1:7" x14ac:dyDescent="0.25">
      <c r="A8" s="1" t="s">
        <v>12</v>
      </c>
      <c r="B8" s="1">
        <v>16.170000000000002</v>
      </c>
      <c r="C8" s="1">
        <v>7.02</v>
      </c>
      <c r="D8" s="1">
        <v>62.91</v>
      </c>
      <c r="E8" s="1">
        <v>86.92</v>
      </c>
      <c r="F8" s="1">
        <v>39.04</v>
      </c>
      <c r="G8" s="1">
        <v>18.02</v>
      </c>
    </row>
    <row r="9" spans="1:7" x14ac:dyDescent="0.25">
      <c r="A9" s="1" t="s">
        <v>13</v>
      </c>
      <c r="B9" s="1">
        <v>78.8</v>
      </c>
      <c r="C9" s="1">
        <v>-7.43</v>
      </c>
      <c r="D9" s="1">
        <v>602.15</v>
      </c>
      <c r="E9" s="1">
        <v>601.62</v>
      </c>
      <c r="F9" s="1">
        <v>192.59</v>
      </c>
      <c r="G9" s="1">
        <v>27.76</v>
      </c>
    </row>
    <row r="10" spans="1:7" x14ac:dyDescent="0.25">
      <c r="A10" s="1" t="s">
        <v>14</v>
      </c>
      <c r="B10" s="1">
        <v>7.88</v>
      </c>
      <c r="C10" s="1">
        <v>-0.75</v>
      </c>
      <c r="D10" s="1">
        <v>60.82</v>
      </c>
      <c r="E10" s="1">
        <v>60.77</v>
      </c>
      <c r="F10" s="1">
        <v>19.45</v>
      </c>
      <c r="G10" s="1">
        <v>2.83</v>
      </c>
    </row>
    <row r="11" spans="1:7" x14ac:dyDescent="0.25">
      <c r="A11" s="1" t="s">
        <v>15</v>
      </c>
      <c r="B11" s="1">
        <v>69.569999999999993</v>
      </c>
      <c r="C11" s="1">
        <v>4.28</v>
      </c>
      <c r="D11" s="1">
        <v>374</v>
      </c>
      <c r="E11" s="1">
        <v>373.88</v>
      </c>
      <c r="F11" s="1">
        <v>109.28</v>
      </c>
      <c r="G11" s="1">
        <v>16.71</v>
      </c>
    </row>
    <row r="12" spans="1:7" x14ac:dyDescent="0.25">
      <c r="A12" s="1" t="s">
        <v>16</v>
      </c>
      <c r="B12" s="1">
        <v>280.32</v>
      </c>
      <c r="C12" s="1">
        <v>232.33</v>
      </c>
      <c r="D12" s="1">
        <v>190.86</v>
      </c>
      <c r="E12" s="1">
        <v>187.84</v>
      </c>
      <c r="F12" s="1">
        <v>191.85</v>
      </c>
      <c r="G12" s="1">
        <v>158.62</v>
      </c>
    </row>
    <row r="13" spans="1:7" x14ac:dyDescent="0.25">
      <c r="A13" s="1" t="s">
        <v>17</v>
      </c>
      <c r="B13" s="1">
        <v>40.56</v>
      </c>
      <c r="C13" s="1">
        <v>38.82</v>
      </c>
      <c r="D13" s="1">
        <v>41.86</v>
      </c>
      <c r="E13" s="1">
        <v>35.71</v>
      </c>
      <c r="F13" s="1">
        <v>39.58</v>
      </c>
      <c r="G13" s="1">
        <v>48.24</v>
      </c>
    </row>
    <row r="14" spans="1:7" x14ac:dyDescent="0.25">
      <c r="A14" s="1" t="s">
        <v>18</v>
      </c>
      <c r="B14" s="1">
        <v>49.46</v>
      </c>
      <c r="C14" s="1">
        <v>41.23</v>
      </c>
      <c r="D14" s="1">
        <v>86.14</v>
      </c>
      <c r="E14" s="1">
        <v>84.89</v>
      </c>
      <c r="F14" s="1">
        <v>75.569999999999993</v>
      </c>
      <c r="G14" s="1">
        <v>52.72</v>
      </c>
    </row>
    <row r="15" spans="1:7" x14ac:dyDescent="0.25">
      <c r="A15" s="1" t="s">
        <v>19</v>
      </c>
      <c r="B15" s="1">
        <v>1</v>
      </c>
      <c r="C15" s="1">
        <v>1</v>
      </c>
      <c r="D15" s="1">
        <v>4</v>
      </c>
      <c r="E15" s="1">
        <v>3</v>
      </c>
      <c r="F15" s="1">
        <v>3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120.24</v>
      </c>
      <c r="C17" s="1">
        <v>31.03</v>
      </c>
      <c r="D17" s="1">
        <v>612.47</v>
      </c>
      <c r="E17" s="1">
        <v>731.08</v>
      </c>
      <c r="F17" s="1">
        <v>289.54000000000002</v>
      </c>
      <c r="G17" s="1">
        <v>102.19</v>
      </c>
    </row>
    <row r="18" spans="1:7" x14ac:dyDescent="0.25">
      <c r="A18" s="1" t="s">
        <v>22</v>
      </c>
      <c r="B18" s="1">
        <v>41.44</v>
      </c>
      <c r="C18" s="1">
        <v>38.46</v>
      </c>
      <c r="D18" s="1">
        <v>10.32</v>
      </c>
      <c r="E18" s="1">
        <v>129.47</v>
      </c>
      <c r="F18" s="1">
        <v>96.95</v>
      </c>
      <c r="G18" s="1">
        <v>74.430000000000007</v>
      </c>
    </row>
    <row r="19" spans="1:7" x14ac:dyDescent="0.25">
      <c r="A19" s="1" t="s">
        <v>23</v>
      </c>
      <c r="B19" s="1">
        <v>1</v>
      </c>
      <c r="C19" s="1">
        <v>2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1.1000000000000001</v>
      </c>
      <c r="C20" s="1">
        <v>2.4</v>
      </c>
      <c r="D20" s="1">
        <v>0</v>
      </c>
      <c r="E20" s="1">
        <v>0</v>
      </c>
      <c r="F20" s="1">
        <v>0</v>
      </c>
      <c r="G20" s="1">
        <v>1.2</v>
      </c>
    </row>
    <row r="21" spans="1:7" x14ac:dyDescent="0.25">
      <c r="A21" s="1" t="s">
        <v>25</v>
      </c>
      <c r="B21" s="1">
        <v>9</v>
      </c>
      <c r="C21" s="1">
        <v>7.6</v>
      </c>
      <c r="D21" s="1">
        <v>10</v>
      </c>
      <c r="E21" s="1">
        <v>10</v>
      </c>
      <c r="F21" s="1">
        <v>10</v>
      </c>
      <c r="G21" s="1">
        <v>8.6999999999999993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1.3</v>
      </c>
      <c r="E25" s="1">
        <v>1.5</v>
      </c>
      <c r="F25" s="1">
        <v>6.1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8.6999999999999993</v>
      </c>
      <c r="E26" s="1">
        <v>8.5</v>
      </c>
      <c r="F26" s="1">
        <v>3.9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13</v>
      </c>
      <c r="E30" s="3">
        <f t="shared" si="2"/>
        <v>15</v>
      </c>
      <c r="F30" s="3">
        <f t="shared" si="2"/>
        <v>61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86.999999999999986</v>
      </c>
      <c r="E31" s="3">
        <f t="shared" si="3"/>
        <v>85</v>
      </c>
      <c r="F31" s="3">
        <f t="shared" si="3"/>
        <v>39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6.79</v>
      </c>
      <c r="C33" s="3">
        <v>-0.36</v>
      </c>
      <c r="D33" s="3">
        <v>62.27</v>
      </c>
      <c r="E33" s="3">
        <v>61.78</v>
      </c>
      <c r="F33" s="3">
        <v>20.3</v>
      </c>
      <c r="G33" s="3">
        <v>1.81</v>
      </c>
    </row>
    <row r="35" spans="1:7" x14ac:dyDescent="0.25">
      <c r="A35" s="3" t="s">
        <v>36</v>
      </c>
      <c r="B35" s="3"/>
      <c r="C35" s="3"/>
      <c r="D35" s="3">
        <f>D33-C33</f>
        <v>62.63</v>
      </c>
      <c r="E35" s="3"/>
      <c r="F35" s="3">
        <f>F33-E33</f>
        <v>-41.480000000000004</v>
      </c>
      <c r="G35" s="3"/>
    </row>
    <row r="37" spans="1:7" x14ac:dyDescent="0.25">
      <c r="A37" s="3" t="s">
        <v>36</v>
      </c>
      <c r="B37" s="3"/>
      <c r="C37" s="3">
        <f>C33-B33</f>
        <v>-7.15</v>
      </c>
      <c r="D37" s="3"/>
      <c r="E37" s="3">
        <f>E33-D33</f>
        <v>-0.49000000000000199</v>
      </c>
      <c r="F37" s="3"/>
      <c r="G37" s="3">
        <f>G33-F33</f>
        <v>-18.490000000000002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5ED4-EDC2-4747-BEA2-8058C0DA440A}">
  <dimension ref="A1:G37"/>
  <sheetViews>
    <sheetView tabSelected="1" workbookViewId="0">
      <selection activeCell="K15" sqref="K1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230904C002.1</vt:lpstr>
      <vt:lpstr>230904C002.2</vt:lpstr>
      <vt:lpstr>230904C002.3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2023-09-11T18:32:56Z</dcterms:created>
  <dcterms:modified xsi:type="dcterms:W3CDTF">2023-09-18T19:59:28Z</dcterms:modified>
</cp:coreProperties>
</file>