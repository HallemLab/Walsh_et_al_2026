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03\WormLab Data\"/>
    </mc:Choice>
  </mc:AlternateContent>
  <xr:revisionPtr revIDLastSave="0" documentId="13_ncr:1_{D6BBC514-7315-47E9-8E3B-329A280E3B2D}" xr6:coauthVersionLast="36" xr6:coauthVersionMax="36" xr10:uidLastSave="{00000000-0000-0000-0000-000000000000}"/>
  <bookViews>
    <workbookView xWindow="0" yWindow="0" windowWidth="18915" windowHeight="10395" firstSheet="2" activeTab="6" xr2:uid="{8D27BDB9-CDA3-435B-8A9F-2E770822E55E}"/>
  </bookViews>
  <sheets>
    <sheet name="231003C001.1" sheetId="2" r:id="rId1"/>
    <sheet name="231003C001.2" sheetId="4" r:id="rId2"/>
    <sheet name="231003C001.4" sheetId="5" r:id="rId3"/>
    <sheet name="231003C001.5" sheetId="6" r:id="rId4"/>
    <sheet name="231003C002.1" sheetId="7" r:id="rId5"/>
    <sheet name="231003C002.3" sheetId="8" r:id="rId6"/>
    <sheet name="231003C002.5" sheetId="9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G31" i="9"/>
  <c r="F31" i="9"/>
  <c r="E31" i="9"/>
  <c r="D31" i="9"/>
  <c r="C31" i="9"/>
  <c r="B31" i="9"/>
  <c r="G30" i="9"/>
  <c r="F30" i="9"/>
  <c r="D30" i="9"/>
  <c r="C30" i="9"/>
  <c r="B30" i="9"/>
  <c r="G29" i="9"/>
  <c r="F29" i="9"/>
  <c r="G28" i="9"/>
  <c r="F28" i="9"/>
  <c r="E28" i="9"/>
  <c r="E30" i="9" s="1"/>
  <c r="D28" i="9"/>
  <c r="D29" i="9" s="1"/>
  <c r="C28" i="9"/>
  <c r="C29" i="9" s="1"/>
  <c r="B28" i="9"/>
  <c r="B29" i="9" s="1"/>
  <c r="G37" i="8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C29" i="8"/>
  <c r="G28" i="8"/>
  <c r="F28" i="8"/>
  <c r="E28" i="8"/>
  <c r="D28" i="8"/>
  <c r="D29" i="8" s="1"/>
  <c r="C28" i="8"/>
  <c r="B28" i="8"/>
  <c r="B29" i="8" s="1"/>
  <c r="G37" i="7"/>
  <c r="E37" i="7"/>
  <c r="C37" i="7"/>
  <c r="F35" i="7"/>
  <c r="D35" i="7"/>
  <c r="C29" i="7"/>
  <c r="G28" i="7"/>
  <c r="G31" i="7" s="1"/>
  <c r="F28" i="7"/>
  <c r="F31" i="7" s="1"/>
  <c r="E28" i="7"/>
  <c r="E30" i="7" s="1"/>
  <c r="D28" i="7"/>
  <c r="D31" i="7" s="1"/>
  <c r="C28" i="7"/>
  <c r="C31" i="7" s="1"/>
  <c r="B28" i="7"/>
  <c r="B31" i="7" s="1"/>
  <c r="G37" i="6"/>
  <c r="E37" i="6"/>
  <c r="C37" i="6"/>
  <c r="F35" i="6"/>
  <c r="D35" i="6"/>
  <c r="F31" i="6"/>
  <c r="C31" i="6"/>
  <c r="B31" i="6"/>
  <c r="G30" i="6"/>
  <c r="D30" i="6"/>
  <c r="C30" i="6"/>
  <c r="G28" i="6"/>
  <c r="G29" i="6" s="1"/>
  <c r="F28" i="6"/>
  <c r="F29" i="6" s="1"/>
  <c r="E28" i="6"/>
  <c r="E29" i="6" s="1"/>
  <c r="D28" i="6"/>
  <c r="D29" i="6" s="1"/>
  <c r="C28" i="6"/>
  <c r="C29" i="6" s="1"/>
  <c r="B28" i="6"/>
  <c r="B30" i="6" s="1"/>
  <c r="G37" i="5"/>
  <c r="E37" i="5"/>
  <c r="C37" i="5"/>
  <c r="F35" i="5"/>
  <c r="D35" i="5"/>
  <c r="F31" i="5"/>
  <c r="G28" i="5"/>
  <c r="G31" i="5" s="1"/>
  <c r="F28" i="5"/>
  <c r="F30" i="5" s="1"/>
  <c r="E28" i="5"/>
  <c r="E31" i="5" s="1"/>
  <c r="D28" i="5"/>
  <c r="D31" i="5" s="1"/>
  <c r="C28" i="5"/>
  <c r="C31" i="5" s="1"/>
  <c r="B28" i="5"/>
  <c r="B29" i="5" s="1"/>
  <c r="E30" i="1"/>
  <c r="D30" i="1"/>
  <c r="C30" i="1"/>
  <c r="B30" i="1"/>
  <c r="E29" i="1"/>
  <c r="D29" i="1"/>
  <c r="C29" i="1"/>
  <c r="B29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G28" i="4"/>
  <c r="G30" i="4" s="1"/>
  <c r="F28" i="4"/>
  <c r="F30" i="4" s="1"/>
  <c r="E28" i="4"/>
  <c r="E31" i="4" s="1"/>
  <c r="D28" i="4"/>
  <c r="D31" i="4" s="1"/>
  <c r="C28" i="4"/>
  <c r="C31" i="4" s="1"/>
  <c r="B28" i="4"/>
  <c r="B31" i="4" s="1"/>
  <c r="G31" i="4"/>
  <c r="F31" i="4"/>
  <c r="G37" i="4"/>
  <c r="E37" i="4"/>
  <c r="C37" i="4"/>
  <c r="F35" i="4"/>
  <c r="D35" i="4"/>
  <c r="G37" i="2"/>
  <c r="E37" i="2"/>
  <c r="C37" i="2"/>
  <c r="F35" i="2"/>
  <c r="D35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G28" i="2"/>
  <c r="F28" i="2"/>
  <c r="E28" i="2"/>
  <c r="D28" i="2"/>
  <c r="D29" i="2" s="1"/>
  <c r="C28" i="2"/>
  <c r="C29" i="2" s="1"/>
  <c r="B28" i="2"/>
  <c r="B30" i="2" s="1"/>
  <c r="E29" i="9" l="1"/>
  <c r="C30" i="7"/>
  <c r="D29" i="7"/>
  <c r="D30" i="7"/>
  <c r="E29" i="7"/>
  <c r="E31" i="7"/>
  <c r="B29" i="7"/>
  <c r="F29" i="7"/>
  <c r="G29" i="7"/>
  <c r="B30" i="7"/>
  <c r="F30" i="7"/>
  <c r="G30" i="7"/>
  <c r="E30" i="6"/>
  <c r="G31" i="6"/>
  <c r="E31" i="6"/>
  <c r="D31" i="6"/>
  <c r="F30" i="6"/>
  <c r="B29" i="6"/>
  <c r="D30" i="5"/>
  <c r="D29" i="5"/>
  <c r="F29" i="5"/>
  <c r="B30" i="5"/>
  <c r="G30" i="5"/>
  <c r="B31" i="5"/>
  <c r="C29" i="5"/>
  <c r="E29" i="5"/>
  <c r="G29" i="5"/>
  <c r="C30" i="5"/>
  <c r="E30" i="5"/>
  <c r="F29" i="1"/>
  <c r="G29" i="1"/>
  <c r="G30" i="1"/>
  <c r="F30" i="1"/>
  <c r="C29" i="4"/>
  <c r="B29" i="4"/>
  <c r="B30" i="4"/>
  <c r="D30" i="4"/>
  <c r="D29" i="4"/>
  <c r="E29" i="4"/>
  <c r="F29" i="4"/>
  <c r="G29" i="4"/>
  <c r="C30" i="4"/>
  <c r="E30" i="4"/>
  <c r="B31" i="2"/>
  <c r="B29" i="2"/>
  <c r="G37" i="1"/>
  <c r="E37" i="1"/>
  <c r="C37" i="1"/>
  <c r="F35" i="1"/>
  <c r="D35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<sst xmlns="http://schemas.openxmlformats.org/spreadsheetml/2006/main" count="304" uniqueCount="37">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</sst>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D6CD-08D2-42B1-97CD-28445DA5A2FC}">
  <dimension ref="A1:G37"/>
  <sheetViews>
    <sheetView topLeftCell="A10" workbookViewId="0">
      <selection activeCell="B28" sqref="B28:G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452.13</v>
      </c>
      <c r="C2" s="1">
        <v>439.45</v>
      </c>
      <c r="D2" s="1">
        <v>417.34</v>
      </c>
      <c r="E2" s="1">
        <v>377.73</v>
      </c>
      <c r="F2" s="1">
        <v>387.57</v>
      </c>
      <c r="G2" s="1">
        <v>486.9</v>
      </c>
    </row>
    <row r="3" spans="1:7" x14ac:dyDescent="0.25">
      <c r="A3" s="1" t="s">
        <v>7</v>
      </c>
      <c r="B3" s="1">
        <v>37.36</v>
      </c>
      <c r="C3" s="1">
        <v>36.78</v>
      </c>
      <c r="D3" s="1">
        <v>38.770000000000003</v>
      </c>
      <c r="E3" s="1">
        <v>39.450000000000003</v>
      </c>
      <c r="F3" s="1">
        <v>39.090000000000003</v>
      </c>
      <c r="G3" s="1">
        <v>44.62</v>
      </c>
    </row>
    <row r="4" spans="1:7" x14ac:dyDescent="0.25">
      <c r="A4" s="1" t="s">
        <v>8</v>
      </c>
      <c r="B4" s="1">
        <v>17155.7</v>
      </c>
      <c r="C4" s="1">
        <v>16425.259999999998</v>
      </c>
      <c r="D4" s="1">
        <v>16482.11</v>
      </c>
      <c r="E4" s="1">
        <v>15158.56</v>
      </c>
      <c r="F4" s="1">
        <v>15417.42</v>
      </c>
      <c r="G4" s="1">
        <v>22086.27</v>
      </c>
    </row>
    <row r="5" spans="1:7" x14ac:dyDescent="0.25">
      <c r="A5" s="1" t="s">
        <v>9</v>
      </c>
      <c r="B5" s="1">
        <v>301.26</v>
      </c>
      <c r="C5" s="1">
        <v>352.37</v>
      </c>
      <c r="D5" s="1">
        <v>752.11</v>
      </c>
      <c r="E5" s="1">
        <v>596.27</v>
      </c>
      <c r="F5" s="1">
        <v>1017.06</v>
      </c>
      <c r="G5" s="1">
        <v>383.43</v>
      </c>
    </row>
    <row r="6" spans="1:7" x14ac:dyDescent="0.25">
      <c r="A6" s="3" t="s">
        <v>10</v>
      </c>
      <c r="B6" s="3">
        <v>30.13</v>
      </c>
      <c r="C6" s="3">
        <v>35.590000000000003</v>
      </c>
      <c r="D6" s="3">
        <v>75.97</v>
      </c>
      <c r="E6" s="3">
        <v>60.23</v>
      </c>
      <c r="F6" s="3">
        <v>102.73</v>
      </c>
      <c r="G6" s="3">
        <v>39.130000000000003</v>
      </c>
    </row>
    <row r="7" spans="1:7" x14ac:dyDescent="0.25">
      <c r="A7" s="1" t="s">
        <v>11</v>
      </c>
      <c r="B7" s="1">
        <v>290.27999999999997</v>
      </c>
      <c r="C7" s="1">
        <v>324.83</v>
      </c>
      <c r="D7" s="1">
        <v>665.61</v>
      </c>
      <c r="E7" s="1">
        <v>522.61</v>
      </c>
      <c r="F7" s="1">
        <v>838.01</v>
      </c>
      <c r="G7" s="1">
        <v>363.87</v>
      </c>
    </row>
    <row r="8" spans="1:7" x14ac:dyDescent="0.25">
      <c r="A8" s="1" t="s">
        <v>12</v>
      </c>
      <c r="B8" s="1">
        <v>29.03</v>
      </c>
      <c r="C8" s="1">
        <v>32.81</v>
      </c>
      <c r="D8" s="1">
        <v>67.23</v>
      </c>
      <c r="E8" s="1">
        <v>52.79</v>
      </c>
      <c r="F8" s="1">
        <v>84.65</v>
      </c>
      <c r="G8" s="1">
        <v>37.130000000000003</v>
      </c>
    </row>
    <row r="9" spans="1:7" x14ac:dyDescent="0.25">
      <c r="A9" s="1" t="s">
        <v>13</v>
      </c>
      <c r="B9" s="1">
        <v>126.5</v>
      </c>
      <c r="C9" s="1">
        <v>106.47</v>
      </c>
      <c r="D9" s="1">
        <v>-595.25</v>
      </c>
      <c r="E9" s="1">
        <v>387.39</v>
      </c>
      <c r="F9" s="1">
        <v>742.86</v>
      </c>
      <c r="G9" s="1">
        <v>320.66000000000003</v>
      </c>
    </row>
    <row r="10" spans="1:7" x14ac:dyDescent="0.25">
      <c r="A10" s="1" t="s">
        <v>14</v>
      </c>
      <c r="B10" s="1">
        <v>12.65</v>
      </c>
      <c r="C10" s="1">
        <v>10.75</v>
      </c>
      <c r="D10" s="1">
        <v>-60.13</v>
      </c>
      <c r="E10" s="1">
        <v>39.130000000000003</v>
      </c>
      <c r="F10" s="1">
        <v>75.040000000000006</v>
      </c>
      <c r="G10" s="1">
        <v>32.72</v>
      </c>
    </row>
    <row r="11" spans="1:7" x14ac:dyDescent="0.25">
      <c r="A11" s="1" t="s">
        <v>15</v>
      </c>
      <c r="B11" s="1">
        <v>119.14</v>
      </c>
      <c r="C11" s="1">
        <v>71.239999999999995</v>
      </c>
      <c r="D11" s="1">
        <v>512.38</v>
      </c>
      <c r="E11" s="1">
        <v>146.41999999999999</v>
      </c>
      <c r="F11" s="1">
        <v>458.85</v>
      </c>
      <c r="G11" s="1">
        <v>277.5</v>
      </c>
    </row>
    <row r="12" spans="1:7" x14ac:dyDescent="0.25">
      <c r="A12" s="1" t="s">
        <v>16</v>
      </c>
      <c r="B12" s="1">
        <v>219.17</v>
      </c>
      <c r="C12" s="1">
        <v>217.83</v>
      </c>
      <c r="D12" s="1">
        <v>208.52</v>
      </c>
      <c r="E12" s="1">
        <v>168.32</v>
      </c>
      <c r="F12" s="1">
        <v>182.48</v>
      </c>
      <c r="G12" s="1">
        <v>239.35</v>
      </c>
    </row>
    <row r="13" spans="1:7" x14ac:dyDescent="0.25">
      <c r="A13" s="1" t="s">
        <v>17</v>
      </c>
      <c r="B13" s="1">
        <v>14.55</v>
      </c>
      <c r="C13" s="1">
        <v>20.2</v>
      </c>
      <c r="D13" s="1">
        <v>33.409999999999997</v>
      </c>
      <c r="E13" s="1">
        <v>51.95</v>
      </c>
      <c r="F13" s="1">
        <v>39.26</v>
      </c>
      <c r="G13" s="1">
        <v>14.71</v>
      </c>
    </row>
    <row r="14" spans="1:7" x14ac:dyDescent="0.25">
      <c r="A14" s="1" t="s">
        <v>18</v>
      </c>
      <c r="B14" s="1">
        <v>33.6</v>
      </c>
      <c r="C14" s="1">
        <v>50.85</v>
      </c>
      <c r="D14" s="1">
        <v>68.03</v>
      </c>
      <c r="E14" s="1">
        <v>78.19</v>
      </c>
      <c r="F14" s="1">
        <v>77.06</v>
      </c>
      <c r="G14" s="1">
        <v>38.24</v>
      </c>
    </row>
    <row r="15" spans="1:7" x14ac:dyDescent="0.25">
      <c r="A15" s="1" t="s">
        <v>19</v>
      </c>
      <c r="B15" s="1">
        <v>1</v>
      </c>
      <c r="C15" s="1">
        <v>1</v>
      </c>
      <c r="D15" s="1">
        <v>5</v>
      </c>
      <c r="E15" s="1">
        <v>7</v>
      </c>
      <c r="F15" s="1">
        <v>4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208.39</v>
      </c>
      <c r="C17" s="1">
        <v>215.65</v>
      </c>
      <c r="D17" s="1">
        <v>35.18</v>
      </c>
      <c r="E17" s="1">
        <v>455</v>
      </c>
      <c r="F17" s="1">
        <v>790.43</v>
      </c>
      <c r="G17" s="1">
        <v>342.26</v>
      </c>
    </row>
    <row r="18" spans="1:7" x14ac:dyDescent="0.25">
      <c r="A18" s="1" t="s">
        <v>22</v>
      </c>
      <c r="B18" s="1">
        <v>81.89</v>
      </c>
      <c r="C18" s="1">
        <v>109.18</v>
      </c>
      <c r="D18" s="1">
        <v>630.42999999999995</v>
      </c>
      <c r="E18" s="1">
        <v>67.61</v>
      </c>
      <c r="F18" s="1">
        <v>47.57</v>
      </c>
      <c r="G18" s="1">
        <v>21.6</v>
      </c>
    </row>
    <row r="19" spans="1:7" x14ac:dyDescent="0.25">
      <c r="A19" s="1" t="s">
        <v>23</v>
      </c>
      <c r="B19" s="1">
        <v>4</v>
      </c>
      <c r="C19" s="1">
        <v>1</v>
      </c>
      <c r="D19" s="1">
        <v>2</v>
      </c>
      <c r="E19" s="1">
        <v>1</v>
      </c>
      <c r="F19" s="1">
        <v>2</v>
      </c>
      <c r="G19" s="1">
        <v>1</v>
      </c>
    </row>
    <row r="20" spans="1:7" x14ac:dyDescent="0.25">
      <c r="A20" s="1" t="s">
        <v>24</v>
      </c>
      <c r="B20" s="1">
        <v>3.4</v>
      </c>
      <c r="C20" s="1">
        <v>2.9</v>
      </c>
      <c r="D20" s="1">
        <v>9.1999999999999993</v>
      </c>
      <c r="E20" s="1">
        <v>1.9</v>
      </c>
      <c r="F20" s="1">
        <v>1.4</v>
      </c>
      <c r="G20" s="1">
        <v>0.6</v>
      </c>
    </row>
    <row r="21" spans="1:7" x14ac:dyDescent="0.25">
      <c r="A21" s="1" t="s">
        <v>25</v>
      </c>
      <c r="B21" s="1">
        <v>6.7</v>
      </c>
      <c r="C21" s="1">
        <v>7.1</v>
      </c>
      <c r="D21" s="1">
        <v>0.8</v>
      </c>
      <c r="E21" s="1">
        <v>8.1</v>
      </c>
      <c r="F21" s="1">
        <v>8.6</v>
      </c>
      <c r="G21" s="1">
        <v>9.3000000000000007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2.2000000000000002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8.8000000000000007</v>
      </c>
      <c r="E24" s="1">
        <v>0</v>
      </c>
      <c r="F24" s="1">
        <v>3.2</v>
      </c>
      <c r="G24" s="1">
        <v>0</v>
      </c>
    </row>
    <row r="25" spans="1:7" x14ac:dyDescent="0.25">
      <c r="A25" s="1" t="s">
        <v>29</v>
      </c>
      <c r="B25" s="1">
        <v>9.1</v>
      </c>
      <c r="C25" s="1">
        <v>10</v>
      </c>
      <c r="D25" s="1">
        <v>1.2</v>
      </c>
      <c r="E25" s="1">
        <v>4</v>
      </c>
      <c r="F25" s="1">
        <v>0</v>
      </c>
      <c r="G25" s="1">
        <v>5.2</v>
      </c>
    </row>
    <row r="26" spans="1:7" x14ac:dyDescent="0.25">
      <c r="A26" s="1" t="s">
        <v>30</v>
      </c>
      <c r="B26" s="1">
        <v>1</v>
      </c>
      <c r="C26" s="1">
        <v>0</v>
      </c>
      <c r="D26" s="1">
        <v>0</v>
      </c>
      <c r="E26" s="1">
        <v>6</v>
      </c>
      <c r="F26" s="1">
        <v>6.8</v>
      </c>
      <c r="G26" s="1">
        <v>4.7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88.000000000000014</v>
      </c>
      <c r="E29" s="3">
        <f t="shared" si="1"/>
        <v>0</v>
      </c>
      <c r="F29" s="3">
        <f t="shared" si="1"/>
        <v>32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90.099009900990097</v>
      </c>
      <c r="C30" s="3">
        <f t="shared" ref="C30:G30" si="2">C25/C28*100</f>
        <v>100</v>
      </c>
      <c r="D30" s="3">
        <f t="shared" si="2"/>
        <v>12</v>
      </c>
      <c r="E30" s="3">
        <f t="shared" si="2"/>
        <v>40</v>
      </c>
      <c r="F30" s="3">
        <f t="shared" si="2"/>
        <v>0</v>
      </c>
      <c r="G30" s="3">
        <f t="shared" si="2"/>
        <v>52.525252525252533</v>
      </c>
    </row>
    <row r="31" spans="1:7" x14ac:dyDescent="0.25">
      <c r="A31" s="3" t="s">
        <v>34</v>
      </c>
      <c r="B31" s="3">
        <f>B26/B28*100</f>
        <v>9.9009900990099009</v>
      </c>
      <c r="C31" s="3">
        <f t="shared" ref="C31:G31" si="3">C26/C28*100</f>
        <v>0</v>
      </c>
      <c r="D31" s="3">
        <f t="shared" si="3"/>
        <v>0</v>
      </c>
      <c r="E31" s="3">
        <f t="shared" si="3"/>
        <v>60</v>
      </c>
      <c r="F31" s="3">
        <f t="shared" si="3"/>
        <v>68</v>
      </c>
      <c r="G31" s="3">
        <f t="shared" si="3"/>
        <v>47.474747474747474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11.84</v>
      </c>
      <c r="C33" s="3">
        <v>7.35</v>
      </c>
      <c r="D33" s="3">
        <v>-66.930000000000007</v>
      </c>
      <c r="E33" s="3">
        <v>36.17</v>
      </c>
      <c r="F33" s="3">
        <v>68.55</v>
      </c>
      <c r="G33" s="3">
        <v>33.200000000000003</v>
      </c>
    </row>
    <row r="35" spans="1:7" x14ac:dyDescent="0.25">
      <c r="A35" s="3" t="s">
        <v>36</v>
      </c>
      <c r="B35" s="3"/>
      <c r="C35" s="3"/>
      <c r="D35" s="3">
        <f>D33-C33</f>
        <v>-74.28</v>
      </c>
      <c r="E35" s="3"/>
      <c r="F35" s="3">
        <f>F33-E33</f>
        <v>32.379999999999995</v>
      </c>
      <c r="G35" s="3"/>
    </row>
    <row r="37" spans="1:7" x14ac:dyDescent="0.25">
      <c r="A37" s="3" t="s">
        <v>36</v>
      </c>
      <c r="B37" s="3"/>
      <c r="C37" s="3">
        <f>C33-B33</f>
        <v>-4.49</v>
      </c>
      <c r="D37" s="3"/>
      <c r="E37" s="3">
        <f>E33-D33</f>
        <v>103.10000000000001</v>
      </c>
      <c r="F37" s="3"/>
      <c r="G37" s="3">
        <f>G33-F33</f>
        <v>-35.349999999999994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21A4-0D68-49C8-9ADF-3B5DC85537A2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325.27</v>
      </c>
      <c r="C2" s="1">
        <v>284.43</v>
      </c>
      <c r="D2" s="1">
        <v>299.33</v>
      </c>
      <c r="E2" s="1">
        <v>313.27999999999997</v>
      </c>
      <c r="F2" s="1">
        <v>301.52</v>
      </c>
      <c r="G2" s="1">
        <v>343.17</v>
      </c>
    </row>
    <row r="3" spans="1:7" x14ac:dyDescent="0.25">
      <c r="A3" s="1" t="s">
        <v>7</v>
      </c>
      <c r="B3" s="1">
        <v>31.98</v>
      </c>
      <c r="C3" s="1">
        <v>30.31</v>
      </c>
      <c r="D3" s="1">
        <v>32.729999999999997</v>
      </c>
      <c r="E3" s="1">
        <v>34.25</v>
      </c>
      <c r="F3" s="1">
        <v>34.78</v>
      </c>
      <c r="G3" s="1">
        <v>31.27</v>
      </c>
    </row>
    <row r="4" spans="1:7" x14ac:dyDescent="0.25">
      <c r="A4" s="1" t="s">
        <v>8</v>
      </c>
      <c r="B4" s="1">
        <v>10603.71</v>
      </c>
      <c r="C4" s="1">
        <v>8778.84</v>
      </c>
      <c r="D4" s="1">
        <v>10064.709999999999</v>
      </c>
      <c r="E4" s="1">
        <v>10929.23</v>
      </c>
      <c r="F4" s="1">
        <v>10667.71</v>
      </c>
      <c r="G4" s="1">
        <v>10916.72</v>
      </c>
    </row>
    <row r="5" spans="1:7" x14ac:dyDescent="0.25">
      <c r="A5" s="1" t="s">
        <v>9</v>
      </c>
      <c r="B5" s="1">
        <v>287.32</v>
      </c>
      <c r="C5" s="1">
        <v>385.8</v>
      </c>
      <c r="D5" s="1">
        <v>451.47</v>
      </c>
      <c r="E5" s="1">
        <v>354.17</v>
      </c>
      <c r="F5" s="1">
        <v>194.38</v>
      </c>
      <c r="G5" s="1">
        <v>495.42</v>
      </c>
    </row>
    <row r="6" spans="1:7" x14ac:dyDescent="0.25">
      <c r="A6" s="3" t="s">
        <v>10</v>
      </c>
      <c r="B6" s="3">
        <v>28.73</v>
      </c>
      <c r="C6" s="3">
        <v>38.97</v>
      </c>
      <c r="D6" s="3">
        <v>45.6</v>
      </c>
      <c r="E6" s="3">
        <v>35.770000000000003</v>
      </c>
      <c r="F6" s="3">
        <v>19.63</v>
      </c>
      <c r="G6" s="3">
        <v>50.55</v>
      </c>
    </row>
    <row r="7" spans="1:7" x14ac:dyDescent="0.25">
      <c r="A7" s="1" t="s">
        <v>11</v>
      </c>
      <c r="B7" s="1">
        <v>243.35</v>
      </c>
      <c r="C7" s="1">
        <v>357.73</v>
      </c>
      <c r="D7" s="1">
        <v>380.09</v>
      </c>
      <c r="E7" s="1">
        <v>323.5</v>
      </c>
      <c r="F7" s="1">
        <v>141.04</v>
      </c>
      <c r="G7" s="1">
        <v>411.74</v>
      </c>
    </row>
    <row r="8" spans="1:7" x14ac:dyDescent="0.25">
      <c r="A8" s="1" t="s">
        <v>12</v>
      </c>
      <c r="B8" s="1">
        <v>24.34</v>
      </c>
      <c r="C8" s="1">
        <v>36.130000000000003</v>
      </c>
      <c r="D8" s="1">
        <v>38.39</v>
      </c>
      <c r="E8" s="1">
        <v>32.68</v>
      </c>
      <c r="F8" s="1">
        <v>14.25</v>
      </c>
      <c r="G8" s="1">
        <v>42.01</v>
      </c>
    </row>
    <row r="9" spans="1:7" x14ac:dyDescent="0.25">
      <c r="A9" s="1" t="s">
        <v>13</v>
      </c>
      <c r="B9" s="1">
        <v>-128.96</v>
      </c>
      <c r="C9" s="1">
        <v>56.76</v>
      </c>
      <c r="D9" s="1">
        <v>214.85</v>
      </c>
      <c r="E9" s="1">
        <v>103.68</v>
      </c>
      <c r="F9" s="1">
        <v>82.88</v>
      </c>
      <c r="G9" s="1">
        <v>178.72</v>
      </c>
    </row>
    <row r="10" spans="1:7" x14ac:dyDescent="0.25">
      <c r="A10" s="1" t="s">
        <v>14</v>
      </c>
      <c r="B10" s="1">
        <v>-12.9</v>
      </c>
      <c r="C10" s="1">
        <v>5.73</v>
      </c>
      <c r="D10" s="1">
        <v>21.7</v>
      </c>
      <c r="E10" s="1">
        <v>10.47</v>
      </c>
      <c r="F10" s="1">
        <v>8.3699999999999992</v>
      </c>
      <c r="G10" s="1">
        <v>18.239999999999998</v>
      </c>
    </row>
    <row r="11" spans="1:7" x14ac:dyDescent="0.25">
      <c r="A11" s="1" t="s">
        <v>15</v>
      </c>
      <c r="B11" s="1">
        <v>112.08</v>
      </c>
      <c r="C11" s="1">
        <v>2.09</v>
      </c>
      <c r="D11" s="1">
        <v>160.31</v>
      </c>
      <c r="E11" s="1">
        <v>76.77</v>
      </c>
      <c r="F11" s="1">
        <v>38.130000000000003</v>
      </c>
      <c r="G11" s="1">
        <v>58.66</v>
      </c>
    </row>
    <row r="12" spans="1:7" x14ac:dyDescent="0.25">
      <c r="A12" s="1" t="s">
        <v>16</v>
      </c>
      <c r="B12" s="1">
        <v>160.16</v>
      </c>
      <c r="C12" s="1">
        <v>145.54</v>
      </c>
      <c r="D12" s="1">
        <v>126.07</v>
      </c>
      <c r="E12" s="1">
        <v>128.81</v>
      </c>
      <c r="F12" s="1">
        <v>74.7</v>
      </c>
      <c r="G12" s="1">
        <v>120.68</v>
      </c>
    </row>
    <row r="13" spans="1:7" x14ac:dyDescent="0.25">
      <c r="A13" s="1" t="s">
        <v>17</v>
      </c>
      <c r="B13" s="1">
        <v>22.81</v>
      </c>
      <c r="C13" s="1">
        <v>23.21</v>
      </c>
      <c r="D13" s="1">
        <v>29.02</v>
      </c>
      <c r="E13" s="1">
        <v>25.1</v>
      </c>
      <c r="F13" s="1">
        <v>33.44</v>
      </c>
      <c r="G13" s="1">
        <v>32.630000000000003</v>
      </c>
    </row>
    <row r="14" spans="1:7" x14ac:dyDescent="0.25">
      <c r="A14" s="1" t="s">
        <v>18</v>
      </c>
      <c r="B14" s="1">
        <v>45.37</v>
      </c>
      <c r="C14" s="1">
        <v>42.45</v>
      </c>
      <c r="D14" s="1">
        <v>60.37</v>
      </c>
      <c r="E14" s="1">
        <v>57.03</v>
      </c>
      <c r="F14" s="1">
        <v>50.81</v>
      </c>
      <c r="G14" s="1">
        <v>64.489999999999995</v>
      </c>
    </row>
    <row r="15" spans="1:7" x14ac:dyDescent="0.25">
      <c r="A15" s="1" t="s">
        <v>19</v>
      </c>
      <c r="B15" s="1">
        <v>3</v>
      </c>
      <c r="C15" s="1">
        <v>1</v>
      </c>
      <c r="D15" s="1">
        <v>3</v>
      </c>
      <c r="E15" s="1">
        <v>3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57.2</v>
      </c>
      <c r="C17" s="1">
        <v>207.25</v>
      </c>
      <c r="D17" s="1">
        <v>297.47000000000003</v>
      </c>
      <c r="E17" s="1">
        <v>213.59</v>
      </c>
      <c r="F17" s="1">
        <v>111.96</v>
      </c>
      <c r="G17" s="1">
        <v>295.23</v>
      </c>
    </row>
    <row r="18" spans="1:7" x14ac:dyDescent="0.25">
      <c r="A18" s="1" t="s">
        <v>22</v>
      </c>
      <c r="B18" s="1">
        <v>186.16</v>
      </c>
      <c r="C18" s="1">
        <v>150.47999999999999</v>
      </c>
      <c r="D18" s="1">
        <v>82.62</v>
      </c>
      <c r="E18" s="1">
        <v>109.91</v>
      </c>
      <c r="F18" s="1">
        <v>29.08</v>
      </c>
      <c r="G18" s="1">
        <v>116.51</v>
      </c>
    </row>
    <row r="19" spans="1:7" x14ac:dyDescent="0.25">
      <c r="A19" s="1" t="s">
        <v>23</v>
      </c>
      <c r="B19" s="1">
        <v>3</v>
      </c>
      <c r="C19" s="1">
        <v>5</v>
      </c>
      <c r="D19" s="1">
        <v>3</v>
      </c>
      <c r="E19" s="1">
        <v>3</v>
      </c>
      <c r="F19" s="1">
        <v>2</v>
      </c>
      <c r="G19" s="1">
        <v>5</v>
      </c>
    </row>
    <row r="20" spans="1:7" x14ac:dyDescent="0.25">
      <c r="A20" s="1" t="s">
        <v>24</v>
      </c>
      <c r="B20" s="1">
        <v>8.1999999999999993</v>
      </c>
      <c r="C20" s="1">
        <v>6.1</v>
      </c>
      <c r="D20" s="1">
        <v>2.4</v>
      </c>
      <c r="E20" s="1">
        <v>3.4</v>
      </c>
      <c r="F20" s="1">
        <v>2.5</v>
      </c>
      <c r="G20" s="1">
        <v>3.1</v>
      </c>
    </row>
    <row r="21" spans="1:7" x14ac:dyDescent="0.25">
      <c r="A21" s="1" t="s">
        <v>25</v>
      </c>
      <c r="B21" s="1">
        <v>1.9</v>
      </c>
      <c r="C21" s="1">
        <v>3.9</v>
      </c>
      <c r="D21" s="1">
        <v>7.6</v>
      </c>
      <c r="E21" s="1">
        <v>6.6</v>
      </c>
      <c r="F21" s="1">
        <v>7.5</v>
      </c>
      <c r="G21" s="1">
        <v>6.8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1.1000000000000001</v>
      </c>
      <c r="G23" s="1">
        <v>1.1000000000000001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1.5</v>
      </c>
      <c r="F24" s="1">
        <v>0</v>
      </c>
      <c r="G24" s="1">
        <v>1.4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5.8</v>
      </c>
      <c r="E25" s="1">
        <v>6.8</v>
      </c>
      <c r="F25" s="1">
        <v>10</v>
      </c>
      <c r="G25" s="1">
        <v>8.5</v>
      </c>
    </row>
    <row r="26" spans="1:7" x14ac:dyDescent="0.25">
      <c r="A26" s="1" t="s">
        <v>30</v>
      </c>
      <c r="B26" s="1">
        <v>0</v>
      </c>
      <c r="C26" s="1">
        <v>0</v>
      </c>
      <c r="D26" s="1">
        <v>4.2</v>
      </c>
      <c r="E26" s="1">
        <v>1.7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15</v>
      </c>
      <c r="F29" s="3">
        <f t="shared" si="1"/>
        <v>0</v>
      </c>
      <c r="G29" s="3">
        <f t="shared" si="1"/>
        <v>14.14141414141414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57.999999999999993</v>
      </c>
      <c r="E30" s="3">
        <f t="shared" si="2"/>
        <v>68</v>
      </c>
      <c r="F30" s="3">
        <f t="shared" si="2"/>
        <v>100</v>
      </c>
      <c r="G30" s="3">
        <f t="shared" si="2"/>
        <v>85.858585858585855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42.000000000000007</v>
      </c>
      <c r="E31" s="3">
        <f t="shared" si="3"/>
        <v>17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-14.06</v>
      </c>
      <c r="C33" s="3">
        <v>0.33</v>
      </c>
      <c r="D33" s="3">
        <v>20.86</v>
      </c>
      <c r="E33" s="3">
        <v>6.91</v>
      </c>
      <c r="F33" s="3">
        <v>7.36</v>
      </c>
      <c r="G33" s="3">
        <v>13.98</v>
      </c>
    </row>
    <row r="35" spans="1:7" x14ac:dyDescent="0.25">
      <c r="A35" s="3" t="s">
        <v>36</v>
      </c>
      <c r="B35" s="3"/>
      <c r="C35" s="3"/>
      <c r="D35" s="3">
        <f>D33-C33</f>
        <v>20.53</v>
      </c>
      <c r="E35" s="3"/>
      <c r="F35" s="3">
        <f>F33-E33</f>
        <v>0.45000000000000018</v>
      </c>
      <c r="G35" s="3"/>
    </row>
    <row r="37" spans="1:7" x14ac:dyDescent="0.25">
      <c r="A37" s="3" t="s">
        <v>36</v>
      </c>
      <c r="B37" s="3"/>
      <c r="C37" s="3">
        <f>C33-B33</f>
        <v>14.39</v>
      </c>
      <c r="D37" s="3"/>
      <c r="E37" s="3">
        <f>E33-D33</f>
        <v>-13.95</v>
      </c>
      <c r="F37" s="3"/>
      <c r="G37" s="3">
        <f>G33-F33</f>
        <v>6.62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3EA3-1565-4BFC-96F9-EB716BE2BC03}">
  <dimension ref="A1:G37"/>
  <sheetViews>
    <sheetView topLeftCell="A1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411.04</v>
      </c>
      <c r="C2" s="1">
        <v>397.21</v>
      </c>
      <c r="D2" s="1">
        <v>347.58</v>
      </c>
      <c r="E2" s="1">
        <v>424.91</v>
      </c>
      <c r="F2" s="1">
        <v>365.4</v>
      </c>
      <c r="G2" s="1">
        <v>364.76</v>
      </c>
    </row>
    <row r="3" spans="1:7" x14ac:dyDescent="0.25">
      <c r="A3" s="1" t="s">
        <v>7</v>
      </c>
      <c r="B3" s="1">
        <v>35.31</v>
      </c>
      <c r="C3" s="1">
        <v>28.28</v>
      </c>
      <c r="D3" s="1">
        <v>30.58</v>
      </c>
      <c r="E3" s="1">
        <v>37.950000000000003</v>
      </c>
      <c r="F3" s="1">
        <v>34.21</v>
      </c>
      <c r="G3" s="1">
        <v>32.619999999999997</v>
      </c>
    </row>
    <row r="4" spans="1:7" x14ac:dyDescent="0.25">
      <c r="A4" s="1" t="s">
        <v>8</v>
      </c>
      <c r="B4" s="1">
        <v>14797.61</v>
      </c>
      <c r="C4" s="1">
        <v>11383.93</v>
      </c>
      <c r="D4" s="1">
        <v>10862.64</v>
      </c>
      <c r="E4" s="1">
        <v>16381.55</v>
      </c>
      <c r="F4" s="1">
        <v>12725.63</v>
      </c>
      <c r="G4" s="1">
        <v>12096.98</v>
      </c>
    </row>
    <row r="5" spans="1:7" x14ac:dyDescent="0.25">
      <c r="A5" s="1" t="s">
        <v>9</v>
      </c>
      <c r="B5" s="1">
        <v>166.01</v>
      </c>
      <c r="C5" s="1">
        <v>632.97</v>
      </c>
      <c r="D5" s="1">
        <v>804.73</v>
      </c>
      <c r="E5" s="1">
        <v>968.04</v>
      </c>
      <c r="F5" s="1">
        <v>440.12</v>
      </c>
      <c r="G5" s="1">
        <v>547.17999999999995</v>
      </c>
    </row>
    <row r="6" spans="1:7" x14ac:dyDescent="0.25">
      <c r="A6" s="3" t="s">
        <v>10</v>
      </c>
      <c r="B6" s="3">
        <v>16.600000000000001</v>
      </c>
      <c r="C6" s="3">
        <v>63.94</v>
      </c>
      <c r="D6" s="3">
        <v>81.290000000000006</v>
      </c>
      <c r="E6" s="3">
        <v>97.78</v>
      </c>
      <c r="F6" s="3">
        <v>44.46</v>
      </c>
      <c r="G6" s="3">
        <v>55.84</v>
      </c>
    </row>
    <row r="7" spans="1:7" x14ac:dyDescent="0.25">
      <c r="A7" s="1" t="s">
        <v>11</v>
      </c>
      <c r="B7" s="1">
        <v>147.9</v>
      </c>
      <c r="C7" s="1">
        <v>565.41</v>
      </c>
      <c r="D7" s="1">
        <v>703.8</v>
      </c>
      <c r="E7" s="1">
        <v>806.3</v>
      </c>
      <c r="F7" s="1">
        <v>403.29</v>
      </c>
      <c r="G7" s="1">
        <v>520.34</v>
      </c>
    </row>
    <row r="8" spans="1:7" x14ac:dyDescent="0.25">
      <c r="A8" s="1" t="s">
        <v>12</v>
      </c>
      <c r="B8" s="1">
        <v>14.79</v>
      </c>
      <c r="C8" s="1">
        <v>57.11</v>
      </c>
      <c r="D8" s="1">
        <v>71.09</v>
      </c>
      <c r="E8" s="1">
        <v>81.44</v>
      </c>
      <c r="F8" s="1">
        <v>40.74</v>
      </c>
      <c r="G8" s="1">
        <v>53.1</v>
      </c>
    </row>
    <row r="9" spans="1:7" x14ac:dyDescent="0.25">
      <c r="A9" s="1" t="s">
        <v>13</v>
      </c>
      <c r="B9" s="1">
        <v>-24.51</v>
      </c>
      <c r="C9" s="1">
        <v>93.8</v>
      </c>
      <c r="D9" s="1">
        <v>411.56</v>
      </c>
      <c r="E9" s="1">
        <v>798.43</v>
      </c>
      <c r="F9" s="1">
        <v>140.12</v>
      </c>
      <c r="G9" s="1">
        <v>152.41999999999999</v>
      </c>
    </row>
    <row r="10" spans="1:7" x14ac:dyDescent="0.25">
      <c r="A10" s="1" t="s">
        <v>14</v>
      </c>
      <c r="B10" s="1">
        <v>-2.4500000000000002</v>
      </c>
      <c r="C10" s="1">
        <v>9.48</v>
      </c>
      <c r="D10" s="1">
        <v>41.57</v>
      </c>
      <c r="E10" s="1">
        <v>80.650000000000006</v>
      </c>
      <c r="F10" s="1">
        <v>14.15</v>
      </c>
      <c r="G10" s="1">
        <v>15.55</v>
      </c>
    </row>
    <row r="11" spans="1:7" x14ac:dyDescent="0.25">
      <c r="A11" s="1" t="s">
        <v>15</v>
      </c>
      <c r="B11" s="1">
        <v>12.56</v>
      </c>
      <c r="C11" s="1">
        <v>73.55</v>
      </c>
      <c r="D11" s="1">
        <v>262.17</v>
      </c>
      <c r="E11" s="1">
        <v>453.25</v>
      </c>
      <c r="F11" s="1">
        <v>108.13</v>
      </c>
      <c r="G11" s="1">
        <v>92.66</v>
      </c>
    </row>
    <row r="12" spans="1:7" x14ac:dyDescent="0.25">
      <c r="A12" s="1" t="s">
        <v>16</v>
      </c>
      <c r="B12" s="1">
        <v>201.27</v>
      </c>
      <c r="C12" s="1">
        <v>192.15</v>
      </c>
      <c r="D12" s="1">
        <v>133.57</v>
      </c>
      <c r="E12" s="1">
        <v>185.32</v>
      </c>
      <c r="F12" s="1">
        <v>178.62</v>
      </c>
      <c r="G12" s="1">
        <v>198.53</v>
      </c>
    </row>
    <row r="13" spans="1:7" x14ac:dyDescent="0.25">
      <c r="A13" s="1" t="s">
        <v>17</v>
      </c>
      <c r="B13" s="1">
        <v>28.64</v>
      </c>
      <c r="C13" s="1">
        <v>20</v>
      </c>
      <c r="D13" s="1">
        <v>23.77</v>
      </c>
      <c r="E13" s="1">
        <v>33.450000000000003</v>
      </c>
      <c r="F13" s="1">
        <v>12.69</v>
      </c>
      <c r="G13" s="1">
        <v>21.59</v>
      </c>
    </row>
    <row r="14" spans="1:7" x14ac:dyDescent="0.25">
      <c r="A14" s="1" t="s">
        <v>18</v>
      </c>
      <c r="B14" s="1">
        <v>45.21</v>
      </c>
      <c r="C14" s="1">
        <v>40.56</v>
      </c>
      <c r="D14" s="1">
        <v>56.34</v>
      </c>
      <c r="E14" s="1">
        <v>78.81</v>
      </c>
      <c r="F14" s="1">
        <v>49.23</v>
      </c>
      <c r="G14" s="1">
        <v>51.89</v>
      </c>
    </row>
    <row r="15" spans="1:7" x14ac:dyDescent="0.25">
      <c r="A15" s="1" t="s">
        <v>19</v>
      </c>
      <c r="B15" s="1">
        <v>1</v>
      </c>
      <c r="C15" s="1">
        <v>4</v>
      </c>
      <c r="D15" s="1">
        <v>5</v>
      </c>
      <c r="E15" s="1">
        <v>5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61.7</v>
      </c>
      <c r="C17" s="1">
        <v>329.61</v>
      </c>
      <c r="D17" s="1">
        <v>557.67999999999995</v>
      </c>
      <c r="E17" s="1">
        <v>802.37</v>
      </c>
      <c r="F17" s="1">
        <v>271.70999999999998</v>
      </c>
      <c r="G17" s="1">
        <v>336.38</v>
      </c>
    </row>
    <row r="18" spans="1:7" x14ac:dyDescent="0.25">
      <c r="A18" s="1" t="s">
        <v>22</v>
      </c>
      <c r="B18" s="1">
        <v>86.2</v>
      </c>
      <c r="C18" s="1">
        <v>235.81</v>
      </c>
      <c r="D18" s="1">
        <v>146.12</v>
      </c>
      <c r="E18" s="1">
        <v>3.93</v>
      </c>
      <c r="F18" s="1">
        <v>131.58000000000001</v>
      </c>
      <c r="G18" s="1">
        <v>183.96</v>
      </c>
    </row>
    <row r="19" spans="1:7" x14ac:dyDescent="0.25">
      <c r="A19" s="1" t="s">
        <v>23</v>
      </c>
      <c r="B19" s="1">
        <v>5</v>
      </c>
      <c r="C19" s="1">
        <v>5</v>
      </c>
      <c r="D19" s="1">
        <v>2</v>
      </c>
      <c r="E19" s="1">
        <v>0</v>
      </c>
      <c r="F19" s="1">
        <v>3</v>
      </c>
      <c r="G19" s="1">
        <v>4</v>
      </c>
    </row>
    <row r="20" spans="1:7" x14ac:dyDescent="0.25">
      <c r="A20" s="1" t="s">
        <v>24</v>
      </c>
      <c r="B20" s="1">
        <v>5.2</v>
      </c>
      <c r="C20" s="1">
        <v>3.9</v>
      </c>
      <c r="D20" s="1">
        <v>3.1</v>
      </c>
      <c r="E20" s="1">
        <v>0</v>
      </c>
      <c r="F20" s="1">
        <v>3.7</v>
      </c>
      <c r="G20" s="1">
        <v>4.3</v>
      </c>
    </row>
    <row r="21" spans="1:7" x14ac:dyDescent="0.25">
      <c r="A21" s="1" t="s">
        <v>25</v>
      </c>
      <c r="B21" s="1">
        <v>4.9000000000000004</v>
      </c>
      <c r="C21" s="1">
        <v>6.1</v>
      </c>
      <c r="D21" s="1">
        <v>6.9</v>
      </c>
      <c r="E21" s="1">
        <v>10</v>
      </c>
      <c r="F21" s="1">
        <v>6.3</v>
      </c>
      <c r="G21" s="1">
        <v>5.6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2.2000000000000002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8</v>
      </c>
      <c r="D25" s="1">
        <v>5.9</v>
      </c>
      <c r="E25" s="1">
        <v>0</v>
      </c>
      <c r="F25" s="1">
        <v>7.8</v>
      </c>
      <c r="G25" s="1">
        <v>7.6</v>
      </c>
    </row>
    <row r="26" spans="1:7" x14ac:dyDescent="0.25">
      <c r="A26" s="1" t="s">
        <v>30</v>
      </c>
      <c r="B26" s="1">
        <v>0</v>
      </c>
      <c r="C26" s="1">
        <v>2</v>
      </c>
      <c r="D26" s="1">
        <v>4.0999999999999996</v>
      </c>
      <c r="E26" s="1">
        <v>10</v>
      </c>
      <c r="F26" s="1">
        <v>2.2000000000000002</v>
      </c>
      <c r="G26" s="1">
        <v>2.2999999999999998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80</v>
      </c>
      <c r="D30" s="3">
        <f t="shared" si="2"/>
        <v>59.000000000000007</v>
      </c>
      <c r="E30" s="3">
        <f t="shared" si="2"/>
        <v>0</v>
      </c>
      <c r="F30" s="3">
        <f t="shared" si="2"/>
        <v>78</v>
      </c>
      <c r="G30" s="3">
        <f t="shared" si="2"/>
        <v>76.767676767676775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20</v>
      </c>
      <c r="D31" s="3">
        <f t="shared" si="3"/>
        <v>41</v>
      </c>
      <c r="E31" s="3">
        <f t="shared" si="3"/>
        <v>100</v>
      </c>
      <c r="F31" s="3">
        <f t="shared" si="3"/>
        <v>22.000000000000004</v>
      </c>
      <c r="G31" s="3">
        <f t="shared" si="3"/>
        <v>23.232323232323235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-1.76</v>
      </c>
      <c r="C33" s="3">
        <v>7.29</v>
      </c>
      <c r="D33" s="3">
        <v>41.94</v>
      </c>
      <c r="E33" s="3">
        <v>95.84</v>
      </c>
      <c r="F33" s="3">
        <v>12.02</v>
      </c>
      <c r="G33" s="3">
        <v>7</v>
      </c>
    </row>
    <row r="35" spans="1:7" x14ac:dyDescent="0.25">
      <c r="A35" s="3" t="s">
        <v>36</v>
      </c>
      <c r="B35" s="3"/>
      <c r="C35" s="3"/>
      <c r="D35" s="3">
        <f>D33-C33</f>
        <v>34.65</v>
      </c>
      <c r="E35" s="3"/>
      <c r="F35" s="3">
        <f>F33-E33</f>
        <v>-83.820000000000007</v>
      </c>
      <c r="G35" s="3"/>
    </row>
    <row r="37" spans="1:7" x14ac:dyDescent="0.25">
      <c r="A37" s="3" t="s">
        <v>36</v>
      </c>
      <c r="B37" s="3"/>
      <c r="C37" s="3">
        <f>C33-B33</f>
        <v>9.0500000000000007</v>
      </c>
      <c r="D37" s="3"/>
      <c r="E37" s="3">
        <f>E33-D33</f>
        <v>53.900000000000006</v>
      </c>
      <c r="F37" s="3"/>
      <c r="G37" s="3">
        <f>G33-F33</f>
        <v>-5.0199999999999996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D156-F0DE-4433-8E19-8CCCBD2A5299}">
  <dimension ref="A1:G37"/>
  <sheetViews>
    <sheetView topLeftCell="A10" workbookViewId="0">
      <selection activeCell="K22" sqref="K22:K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460.4</v>
      </c>
      <c r="C2" s="1">
        <v>389.01</v>
      </c>
      <c r="D2" s="1">
        <v>404.83</v>
      </c>
      <c r="E2" s="1">
        <v>403.9</v>
      </c>
      <c r="F2" s="1">
        <v>420.8</v>
      </c>
      <c r="G2" s="1">
        <v>497.36</v>
      </c>
    </row>
    <row r="3" spans="1:7" x14ac:dyDescent="0.25">
      <c r="A3" s="1" t="s">
        <v>7</v>
      </c>
      <c r="B3" s="1">
        <v>35.909999999999997</v>
      </c>
      <c r="C3" s="1">
        <v>36.83</v>
      </c>
      <c r="D3" s="1">
        <v>36.79</v>
      </c>
      <c r="E3" s="1">
        <v>39.07</v>
      </c>
      <c r="F3" s="1">
        <v>35.31</v>
      </c>
      <c r="G3" s="1">
        <v>37.15</v>
      </c>
    </row>
    <row r="4" spans="1:7" x14ac:dyDescent="0.25">
      <c r="A4" s="1" t="s">
        <v>8</v>
      </c>
      <c r="B4" s="1">
        <v>16774.09</v>
      </c>
      <c r="C4" s="1">
        <v>14574.93</v>
      </c>
      <c r="D4" s="1">
        <v>15175.92</v>
      </c>
      <c r="E4" s="1">
        <v>16063.04</v>
      </c>
      <c r="F4" s="1">
        <v>15099.79</v>
      </c>
      <c r="G4" s="1">
        <v>18774.14</v>
      </c>
    </row>
    <row r="5" spans="1:7" x14ac:dyDescent="0.25">
      <c r="A5" s="1" t="s">
        <v>9</v>
      </c>
      <c r="B5" s="1">
        <v>441.53</v>
      </c>
      <c r="C5" s="1">
        <v>311.74</v>
      </c>
      <c r="D5" s="1">
        <v>945.03</v>
      </c>
      <c r="E5" s="1">
        <v>751.67</v>
      </c>
      <c r="F5" s="1">
        <v>777.41</v>
      </c>
      <c r="G5" s="1">
        <v>615.59</v>
      </c>
    </row>
    <row r="6" spans="1:7" x14ac:dyDescent="0.25">
      <c r="A6" s="3" t="s">
        <v>10</v>
      </c>
      <c r="B6" s="3">
        <v>44.15</v>
      </c>
      <c r="C6" s="3">
        <v>31.49</v>
      </c>
      <c r="D6" s="3">
        <v>95.46</v>
      </c>
      <c r="E6" s="3">
        <v>75.930000000000007</v>
      </c>
      <c r="F6" s="3">
        <v>78.53</v>
      </c>
      <c r="G6" s="3">
        <v>62.82</v>
      </c>
    </row>
    <row r="7" spans="1:7" x14ac:dyDescent="0.25">
      <c r="A7" s="1" t="s">
        <v>11</v>
      </c>
      <c r="B7" s="1">
        <v>426.45</v>
      </c>
      <c r="C7" s="1">
        <v>270.2</v>
      </c>
      <c r="D7" s="1">
        <v>812.31</v>
      </c>
      <c r="E7" s="1">
        <v>621.85</v>
      </c>
      <c r="F7" s="1">
        <v>701.9</v>
      </c>
      <c r="G7" s="1">
        <v>585.95000000000005</v>
      </c>
    </row>
    <row r="8" spans="1:7" x14ac:dyDescent="0.25">
      <c r="A8" s="1" t="s">
        <v>12</v>
      </c>
      <c r="B8" s="1">
        <v>42.64</v>
      </c>
      <c r="C8" s="1">
        <v>27.29</v>
      </c>
      <c r="D8" s="1">
        <v>82.05</v>
      </c>
      <c r="E8" s="1">
        <v>62.81</v>
      </c>
      <c r="F8" s="1">
        <v>70.900000000000006</v>
      </c>
      <c r="G8" s="1">
        <v>59.79</v>
      </c>
    </row>
    <row r="9" spans="1:7" x14ac:dyDescent="0.25">
      <c r="A9" s="1" t="s">
        <v>13</v>
      </c>
      <c r="B9" s="1">
        <v>-228.25</v>
      </c>
      <c r="C9" s="1">
        <v>123.59</v>
      </c>
      <c r="D9" s="1">
        <v>-387.74</v>
      </c>
      <c r="E9" s="1">
        <v>359.19</v>
      </c>
      <c r="F9" s="1">
        <v>648.03</v>
      </c>
      <c r="G9" s="1">
        <v>578.5</v>
      </c>
    </row>
    <row r="10" spans="1:7" x14ac:dyDescent="0.25">
      <c r="A10" s="1" t="s">
        <v>14</v>
      </c>
      <c r="B10" s="1">
        <v>-22.82</v>
      </c>
      <c r="C10" s="1">
        <v>12.48</v>
      </c>
      <c r="D10" s="1">
        <v>-39.17</v>
      </c>
      <c r="E10" s="1">
        <v>36.28</v>
      </c>
      <c r="F10" s="1">
        <v>65.459999999999994</v>
      </c>
      <c r="G10" s="1">
        <v>59.03</v>
      </c>
    </row>
    <row r="11" spans="1:7" x14ac:dyDescent="0.25">
      <c r="A11" s="1" t="s">
        <v>15</v>
      </c>
      <c r="B11" s="1">
        <v>77.349999999999994</v>
      </c>
      <c r="C11" s="1">
        <v>137.49</v>
      </c>
      <c r="D11" s="1">
        <v>184.46</v>
      </c>
      <c r="E11" s="1">
        <v>194.28</v>
      </c>
      <c r="F11" s="1">
        <v>603.07000000000005</v>
      </c>
      <c r="G11" s="1">
        <v>539.76</v>
      </c>
    </row>
    <row r="12" spans="1:7" x14ac:dyDescent="0.25">
      <c r="A12" s="1" t="s">
        <v>16</v>
      </c>
      <c r="B12" s="1">
        <v>212.85</v>
      </c>
      <c r="C12" s="1">
        <v>104.49</v>
      </c>
      <c r="D12" s="1">
        <v>180.84</v>
      </c>
      <c r="E12" s="1">
        <v>165.89</v>
      </c>
      <c r="F12" s="1">
        <v>215.69</v>
      </c>
      <c r="G12" s="1">
        <v>257.39</v>
      </c>
    </row>
    <row r="13" spans="1:7" x14ac:dyDescent="0.25">
      <c r="A13" s="1" t="s">
        <v>17</v>
      </c>
      <c r="B13" s="1">
        <v>18.52</v>
      </c>
      <c r="C13" s="1">
        <v>12.98</v>
      </c>
      <c r="D13" s="1">
        <v>32.35</v>
      </c>
      <c r="E13" s="1">
        <v>38.15</v>
      </c>
      <c r="F13" s="1">
        <v>23.3</v>
      </c>
      <c r="G13" s="1">
        <v>16.489999999999998</v>
      </c>
    </row>
    <row r="14" spans="1:7" x14ac:dyDescent="0.25">
      <c r="A14" s="1" t="s">
        <v>18</v>
      </c>
      <c r="B14" s="1">
        <v>49.29</v>
      </c>
      <c r="C14" s="1">
        <v>32.07</v>
      </c>
      <c r="D14" s="1">
        <v>73.08</v>
      </c>
      <c r="E14" s="1">
        <v>69.55</v>
      </c>
      <c r="F14" s="1">
        <v>75.37</v>
      </c>
      <c r="G14" s="1">
        <v>39.22</v>
      </c>
    </row>
    <row r="15" spans="1:7" x14ac:dyDescent="0.25">
      <c r="A15" s="1" t="s">
        <v>19</v>
      </c>
      <c r="B15" s="1">
        <v>2</v>
      </c>
      <c r="C15" s="1">
        <v>4</v>
      </c>
      <c r="D15" s="1">
        <v>6</v>
      </c>
      <c r="E15" s="1">
        <v>5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99.1</v>
      </c>
      <c r="C17" s="1">
        <v>196.9</v>
      </c>
      <c r="D17" s="1">
        <v>212.29</v>
      </c>
      <c r="E17" s="1">
        <v>490.52</v>
      </c>
      <c r="F17" s="1">
        <v>674.96</v>
      </c>
      <c r="G17" s="1">
        <v>582.23</v>
      </c>
    </row>
    <row r="18" spans="1:7" x14ac:dyDescent="0.25">
      <c r="A18" s="1" t="s">
        <v>22</v>
      </c>
      <c r="B18" s="1">
        <v>327.35000000000002</v>
      </c>
      <c r="C18" s="1">
        <v>73.31</v>
      </c>
      <c r="D18" s="1">
        <v>600.03</v>
      </c>
      <c r="E18" s="1">
        <v>131.33000000000001</v>
      </c>
      <c r="F18" s="1">
        <v>26.94</v>
      </c>
      <c r="G18" s="1">
        <v>3.73</v>
      </c>
    </row>
    <row r="19" spans="1:7" x14ac:dyDescent="0.25">
      <c r="A19" s="1" t="s">
        <v>23</v>
      </c>
      <c r="B19" s="1">
        <v>1</v>
      </c>
      <c r="C19" s="1">
        <v>3</v>
      </c>
      <c r="D19" s="1">
        <v>2</v>
      </c>
      <c r="E19" s="1">
        <v>2</v>
      </c>
      <c r="F19" s="1">
        <v>0</v>
      </c>
      <c r="G19" s="1">
        <v>0</v>
      </c>
    </row>
    <row r="20" spans="1:7" x14ac:dyDescent="0.25">
      <c r="A20" s="1" t="s">
        <v>24</v>
      </c>
      <c r="B20" s="1">
        <v>4</v>
      </c>
      <c r="C20" s="1">
        <v>4.3</v>
      </c>
      <c r="D20" s="1">
        <v>6.6</v>
      </c>
      <c r="E20" s="1">
        <v>3.2</v>
      </c>
      <c r="F20" s="1">
        <v>0</v>
      </c>
      <c r="G20" s="1">
        <v>0</v>
      </c>
    </row>
    <row r="21" spans="1:7" x14ac:dyDescent="0.25">
      <c r="A21" s="1" t="s">
        <v>25</v>
      </c>
      <c r="B21" s="1">
        <v>6.1</v>
      </c>
      <c r="C21" s="1">
        <v>5.7</v>
      </c>
      <c r="D21" s="1">
        <v>3.4</v>
      </c>
      <c r="E21" s="1">
        <v>6.8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1.8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2.9</v>
      </c>
      <c r="C24" s="1">
        <v>0</v>
      </c>
      <c r="D24" s="1">
        <v>2.9</v>
      </c>
      <c r="E24" s="1">
        <v>3.3</v>
      </c>
      <c r="F24" s="1">
        <v>0</v>
      </c>
      <c r="G24" s="1">
        <v>0</v>
      </c>
    </row>
    <row r="25" spans="1:7" x14ac:dyDescent="0.25">
      <c r="A25" s="1" t="s">
        <v>29</v>
      </c>
      <c r="B25" s="1">
        <v>4.8</v>
      </c>
      <c r="C25" s="1">
        <v>10</v>
      </c>
      <c r="D25" s="1">
        <v>3.9</v>
      </c>
      <c r="E25" s="1">
        <v>0</v>
      </c>
      <c r="F25" s="1">
        <v>3.2</v>
      </c>
      <c r="G25" s="1">
        <v>0</v>
      </c>
    </row>
    <row r="26" spans="1:7" x14ac:dyDescent="0.25">
      <c r="A26" s="1" t="s">
        <v>30</v>
      </c>
      <c r="B26" s="1">
        <v>2.4</v>
      </c>
      <c r="C26" s="1">
        <v>0</v>
      </c>
      <c r="D26" s="1">
        <v>3.2</v>
      </c>
      <c r="E26" s="1">
        <v>6.7</v>
      </c>
      <c r="F26" s="1">
        <v>6.8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28.71287128712871</v>
      </c>
      <c r="C29" s="3">
        <f t="shared" ref="C29:G29" si="1">C24/C28*100</f>
        <v>0</v>
      </c>
      <c r="D29" s="3">
        <f t="shared" si="1"/>
        <v>28.999999999999996</v>
      </c>
      <c r="E29" s="3">
        <f t="shared" si="1"/>
        <v>32.999999999999993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47.524752475247524</v>
      </c>
      <c r="C30" s="3">
        <f t="shared" ref="C30:G30" si="2">C25/C28*100</f>
        <v>100</v>
      </c>
      <c r="D30" s="3">
        <f t="shared" si="2"/>
        <v>39</v>
      </c>
      <c r="E30" s="3">
        <f t="shared" si="2"/>
        <v>0</v>
      </c>
      <c r="F30" s="3">
        <f t="shared" si="2"/>
        <v>32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23.762376237623762</v>
      </c>
      <c r="C31" s="3">
        <f t="shared" ref="C31:G31" si="3">C26/C28*100</f>
        <v>0</v>
      </c>
      <c r="D31" s="3">
        <f t="shared" si="3"/>
        <v>32</v>
      </c>
      <c r="E31" s="3">
        <f t="shared" si="3"/>
        <v>67</v>
      </c>
      <c r="F31" s="3">
        <f t="shared" si="3"/>
        <v>68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-8.42</v>
      </c>
      <c r="C33" s="3">
        <v>10.01</v>
      </c>
      <c r="D33" s="3">
        <v>-6.91</v>
      </c>
      <c r="E33" s="3">
        <v>17.71</v>
      </c>
      <c r="F33" s="3">
        <v>71.34</v>
      </c>
      <c r="G33" s="3">
        <v>62.11</v>
      </c>
    </row>
    <row r="35" spans="1:7" x14ac:dyDescent="0.25">
      <c r="A35" s="3" t="s">
        <v>36</v>
      </c>
      <c r="B35" s="3"/>
      <c r="C35" s="3"/>
      <c r="D35" s="3">
        <f>D33-C33</f>
        <v>-16.920000000000002</v>
      </c>
      <c r="E35" s="3"/>
      <c r="F35" s="3">
        <f>F33-E33</f>
        <v>53.63</v>
      </c>
      <c r="G35" s="3"/>
    </row>
    <row r="37" spans="1:7" x14ac:dyDescent="0.25">
      <c r="A37" s="3" t="s">
        <v>36</v>
      </c>
      <c r="B37" s="3"/>
      <c r="C37" s="3">
        <f>C33-B33</f>
        <v>18.43</v>
      </c>
      <c r="D37" s="3"/>
      <c r="E37" s="3">
        <f>E33-D33</f>
        <v>24.62</v>
      </c>
      <c r="F37" s="3"/>
      <c r="G37" s="3">
        <f>G33-F33</f>
        <v>-9.230000000000004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8FE1-A53C-435F-89EC-920715F1263D}">
  <dimension ref="A1:G37"/>
  <sheetViews>
    <sheetView topLeftCell="A7" workbookViewId="0">
      <selection activeCell="J29" sqref="J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371.47</v>
      </c>
      <c r="C2" s="1">
        <v>316.32</v>
      </c>
      <c r="D2" s="1">
        <v>327.25</v>
      </c>
      <c r="E2" s="1">
        <v>305.77</v>
      </c>
      <c r="F2" s="1">
        <v>354.33</v>
      </c>
      <c r="G2" s="1">
        <v>375.68</v>
      </c>
    </row>
    <row r="3" spans="1:7" x14ac:dyDescent="0.25">
      <c r="A3" s="1" t="s">
        <v>7</v>
      </c>
      <c r="B3" s="1">
        <v>40.630000000000003</v>
      </c>
      <c r="C3" s="1">
        <v>27.13</v>
      </c>
      <c r="D3" s="1">
        <v>31.42</v>
      </c>
      <c r="E3" s="1">
        <v>37.97</v>
      </c>
      <c r="F3" s="1">
        <v>37.549999999999997</v>
      </c>
      <c r="G3" s="1">
        <v>36.67</v>
      </c>
    </row>
    <row r="4" spans="1:7" x14ac:dyDescent="0.25">
      <c r="A4" s="1" t="s">
        <v>8</v>
      </c>
      <c r="B4" s="1">
        <v>15387.97</v>
      </c>
      <c r="C4" s="1">
        <v>8812.66</v>
      </c>
      <c r="D4" s="1">
        <v>10580.48</v>
      </c>
      <c r="E4" s="1">
        <v>11805.09</v>
      </c>
      <c r="F4" s="1">
        <v>13513.45</v>
      </c>
      <c r="G4" s="1">
        <v>13956.52</v>
      </c>
    </row>
    <row r="5" spans="1:7" x14ac:dyDescent="0.25">
      <c r="A5" s="1" t="s">
        <v>9</v>
      </c>
      <c r="B5" s="1">
        <v>878.42</v>
      </c>
      <c r="C5" s="1">
        <v>1092.49</v>
      </c>
      <c r="D5" s="1">
        <v>1228.3399999999999</v>
      </c>
      <c r="E5" s="1">
        <v>604.92999999999995</v>
      </c>
      <c r="F5" s="1">
        <v>453.85</v>
      </c>
      <c r="G5" s="1">
        <v>383.92</v>
      </c>
    </row>
    <row r="6" spans="1:7" x14ac:dyDescent="0.25">
      <c r="A6" s="3" t="s">
        <v>10</v>
      </c>
      <c r="B6" s="3">
        <v>87.84</v>
      </c>
      <c r="C6" s="3">
        <v>110.35</v>
      </c>
      <c r="D6" s="3">
        <v>124.07</v>
      </c>
      <c r="E6" s="3">
        <v>61.1</v>
      </c>
      <c r="F6" s="3">
        <v>45.84</v>
      </c>
      <c r="G6" s="3">
        <v>39.18</v>
      </c>
    </row>
    <row r="7" spans="1:7" x14ac:dyDescent="0.25">
      <c r="A7" s="1" t="s">
        <v>11</v>
      </c>
      <c r="B7" s="1">
        <v>713.42</v>
      </c>
      <c r="C7" s="1">
        <v>999.03</v>
      </c>
      <c r="D7" s="1">
        <v>1100.5999999999999</v>
      </c>
      <c r="E7" s="1">
        <v>515.9</v>
      </c>
      <c r="F7" s="1">
        <v>431.92</v>
      </c>
      <c r="G7" s="1">
        <v>359.21</v>
      </c>
    </row>
    <row r="8" spans="1:7" x14ac:dyDescent="0.25">
      <c r="A8" s="1" t="s">
        <v>12</v>
      </c>
      <c r="B8" s="1">
        <v>71.34</v>
      </c>
      <c r="C8" s="1">
        <v>100.91</v>
      </c>
      <c r="D8" s="1">
        <v>111.17</v>
      </c>
      <c r="E8" s="1">
        <v>52.11</v>
      </c>
      <c r="F8" s="1">
        <v>43.63</v>
      </c>
      <c r="G8" s="1">
        <v>36.65</v>
      </c>
    </row>
    <row r="9" spans="1:7" x14ac:dyDescent="0.25">
      <c r="A9" s="1" t="s">
        <v>13</v>
      </c>
      <c r="B9" s="1">
        <v>-572.41</v>
      </c>
      <c r="C9" s="1">
        <v>363.55</v>
      </c>
      <c r="D9" s="1">
        <v>1025.8800000000001</v>
      </c>
      <c r="E9" s="1">
        <v>187.23</v>
      </c>
      <c r="F9" s="1">
        <v>197.85</v>
      </c>
      <c r="G9" s="1">
        <v>172.06</v>
      </c>
    </row>
    <row r="10" spans="1:7" x14ac:dyDescent="0.25">
      <c r="A10" s="1" t="s">
        <v>14</v>
      </c>
      <c r="B10" s="1">
        <v>-57.24</v>
      </c>
      <c r="C10" s="1">
        <v>36.72</v>
      </c>
      <c r="D10" s="1">
        <v>103.62</v>
      </c>
      <c r="E10" s="1">
        <v>18.91</v>
      </c>
      <c r="F10" s="1">
        <v>19.98</v>
      </c>
      <c r="G10" s="1">
        <v>17.559999999999999</v>
      </c>
    </row>
    <row r="11" spans="1:7" x14ac:dyDescent="0.25">
      <c r="A11" s="1" t="s">
        <v>15</v>
      </c>
      <c r="B11" s="1">
        <v>382.26</v>
      </c>
      <c r="C11" s="1">
        <v>397.35</v>
      </c>
      <c r="D11" s="1">
        <v>947.92</v>
      </c>
      <c r="E11" s="1">
        <v>99.72</v>
      </c>
      <c r="F11" s="1">
        <v>165.07</v>
      </c>
      <c r="G11" s="1">
        <v>97.03</v>
      </c>
    </row>
    <row r="12" spans="1:7" x14ac:dyDescent="0.25">
      <c r="A12" s="1" t="s">
        <v>16</v>
      </c>
      <c r="B12" s="1">
        <v>140.63999999999999</v>
      </c>
      <c r="C12" s="1">
        <v>161.41</v>
      </c>
      <c r="D12" s="1">
        <v>179.78</v>
      </c>
      <c r="E12" s="1">
        <v>102.46</v>
      </c>
      <c r="F12" s="1">
        <v>191.59</v>
      </c>
      <c r="G12" s="1">
        <v>171.64</v>
      </c>
    </row>
    <row r="13" spans="1:7" x14ac:dyDescent="0.25">
      <c r="A13" s="1" t="s">
        <v>17</v>
      </c>
      <c r="B13" s="1">
        <v>39.729999999999997</v>
      </c>
      <c r="C13" s="1">
        <v>13.07</v>
      </c>
      <c r="D13" s="1">
        <v>23.28</v>
      </c>
      <c r="E13" s="1">
        <v>33.35</v>
      </c>
      <c r="F13" s="1">
        <v>19.8</v>
      </c>
      <c r="G13" s="1">
        <v>14.87</v>
      </c>
    </row>
    <row r="14" spans="1:7" x14ac:dyDescent="0.25">
      <c r="A14" s="1" t="s">
        <v>18</v>
      </c>
      <c r="B14" s="1">
        <v>73.040000000000006</v>
      </c>
      <c r="C14" s="1">
        <v>33.25</v>
      </c>
      <c r="D14" s="1">
        <v>45.05</v>
      </c>
      <c r="E14" s="1">
        <v>63.97</v>
      </c>
      <c r="F14" s="1">
        <v>55.06</v>
      </c>
      <c r="G14" s="1">
        <v>33.590000000000003</v>
      </c>
    </row>
    <row r="15" spans="1:7" x14ac:dyDescent="0.25">
      <c r="A15" s="1" t="s">
        <v>19</v>
      </c>
      <c r="B15" s="1">
        <v>6</v>
      </c>
      <c r="C15" s="1">
        <v>6</v>
      </c>
      <c r="D15" s="1">
        <v>5</v>
      </c>
      <c r="E15" s="1">
        <v>5</v>
      </c>
      <c r="F15" s="1">
        <v>5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70.510000000000005</v>
      </c>
      <c r="C17" s="1">
        <v>681.29</v>
      </c>
      <c r="D17" s="1">
        <v>1063.24</v>
      </c>
      <c r="E17" s="1">
        <v>351.57</v>
      </c>
      <c r="F17" s="1">
        <v>314.89</v>
      </c>
      <c r="G17" s="1">
        <v>265.64</v>
      </c>
    </row>
    <row r="18" spans="1:7" x14ac:dyDescent="0.25">
      <c r="A18" s="1" t="s">
        <v>22</v>
      </c>
      <c r="B18" s="1">
        <v>642.91999999999996</v>
      </c>
      <c r="C18" s="1">
        <v>317.74</v>
      </c>
      <c r="D18" s="1">
        <v>37.36</v>
      </c>
      <c r="E18" s="1">
        <v>164.34</v>
      </c>
      <c r="F18" s="1">
        <v>117.04</v>
      </c>
      <c r="G18" s="1">
        <v>93.58</v>
      </c>
    </row>
    <row r="19" spans="1:7" x14ac:dyDescent="0.25">
      <c r="A19" s="1" t="s">
        <v>23</v>
      </c>
      <c r="B19" s="1">
        <v>2</v>
      </c>
      <c r="C19" s="1">
        <v>4</v>
      </c>
      <c r="D19" s="1">
        <v>0</v>
      </c>
      <c r="E19" s="1">
        <v>3</v>
      </c>
      <c r="F19" s="1">
        <v>3</v>
      </c>
      <c r="G19" s="1">
        <v>3</v>
      </c>
    </row>
    <row r="20" spans="1:7" x14ac:dyDescent="0.25">
      <c r="A20" s="1" t="s">
        <v>24</v>
      </c>
      <c r="B20" s="1">
        <v>9.4</v>
      </c>
      <c r="C20" s="1">
        <v>3</v>
      </c>
      <c r="D20" s="1">
        <v>0</v>
      </c>
      <c r="E20" s="1">
        <v>6.3</v>
      </c>
      <c r="F20" s="1">
        <v>3.8</v>
      </c>
      <c r="G20" s="1">
        <v>6.2</v>
      </c>
    </row>
    <row r="21" spans="1:7" x14ac:dyDescent="0.25">
      <c r="A21" s="1" t="s">
        <v>25</v>
      </c>
      <c r="B21" s="1">
        <v>0.7</v>
      </c>
      <c r="C21" s="1">
        <v>7</v>
      </c>
      <c r="D21" s="1">
        <v>10</v>
      </c>
      <c r="E21" s="1">
        <v>3.7</v>
      </c>
      <c r="F21" s="1">
        <v>6.2</v>
      </c>
      <c r="G21" s="1">
        <v>3.7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2.2000000000000002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7.4</v>
      </c>
      <c r="C24" s="1">
        <v>0</v>
      </c>
      <c r="D24" s="1">
        <v>0</v>
      </c>
      <c r="E24" s="1">
        <v>1.7</v>
      </c>
      <c r="F24" s="1">
        <v>0</v>
      </c>
      <c r="G24" s="1">
        <v>0</v>
      </c>
    </row>
    <row r="25" spans="1:7" x14ac:dyDescent="0.25">
      <c r="A25" s="1" t="s">
        <v>29</v>
      </c>
      <c r="B25" s="1">
        <v>2.7</v>
      </c>
      <c r="C25" s="1">
        <v>5.6</v>
      </c>
      <c r="D25" s="1">
        <v>1.7</v>
      </c>
      <c r="E25" s="1">
        <v>6</v>
      </c>
      <c r="F25" s="1">
        <v>6.9</v>
      </c>
      <c r="G25" s="1">
        <v>7.6</v>
      </c>
    </row>
    <row r="26" spans="1:7" x14ac:dyDescent="0.25">
      <c r="A26" s="1" t="s">
        <v>30</v>
      </c>
      <c r="B26" s="1">
        <v>0</v>
      </c>
      <c r="C26" s="1">
        <v>4.4000000000000004</v>
      </c>
      <c r="D26" s="1">
        <v>8.3000000000000007</v>
      </c>
      <c r="E26" s="1">
        <v>2.2999999999999998</v>
      </c>
      <c r="F26" s="1">
        <v>3.1</v>
      </c>
      <c r="G26" s="1">
        <v>2.2999999999999998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73.267326732673268</v>
      </c>
      <c r="C29" s="3">
        <f t="shared" ref="C29:G29" si="1">C24/C28*100</f>
        <v>0</v>
      </c>
      <c r="D29" s="3">
        <f t="shared" si="1"/>
        <v>0</v>
      </c>
      <c r="E29" s="3">
        <f t="shared" si="1"/>
        <v>17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26.732673267326728</v>
      </c>
      <c r="C30" s="3">
        <f t="shared" ref="C30:G30" si="2">C25/C28*100</f>
        <v>55.999999999999993</v>
      </c>
      <c r="D30" s="3">
        <f t="shared" si="2"/>
        <v>17</v>
      </c>
      <c r="E30" s="3">
        <f t="shared" si="2"/>
        <v>60</v>
      </c>
      <c r="F30" s="3">
        <f t="shared" si="2"/>
        <v>69</v>
      </c>
      <c r="G30" s="3">
        <f t="shared" si="2"/>
        <v>76.767676767676775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44.000000000000007</v>
      </c>
      <c r="D31" s="3">
        <f t="shared" si="3"/>
        <v>83</v>
      </c>
      <c r="E31" s="3">
        <f t="shared" si="3"/>
        <v>23</v>
      </c>
      <c r="F31" s="3">
        <f t="shared" si="3"/>
        <v>31</v>
      </c>
      <c r="G31" s="3">
        <f t="shared" si="3"/>
        <v>23.232323232323235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-68.260000000000005</v>
      </c>
      <c r="C33" s="3">
        <v>42.62</v>
      </c>
      <c r="D33" s="3">
        <v>111.44</v>
      </c>
      <c r="E33" s="3">
        <v>2.46</v>
      </c>
      <c r="F33" s="3">
        <v>22.1</v>
      </c>
      <c r="G33" s="3">
        <v>7.92</v>
      </c>
    </row>
    <row r="35" spans="1:7" x14ac:dyDescent="0.25">
      <c r="A35" s="3" t="s">
        <v>36</v>
      </c>
      <c r="B35" s="3"/>
      <c r="C35" s="3"/>
      <c r="D35" s="3">
        <f>D33-C33</f>
        <v>68.819999999999993</v>
      </c>
      <c r="E35" s="3"/>
      <c r="F35" s="3">
        <f>F33-E33</f>
        <v>19.64</v>
      </c>
      <c r="G35" s="3"/>
    </row>
    <row r="37" spans="1:7" x14ac:dyDescent="0.25">
      <c r="A37" s="3" t="s">
        <v>36</v>
      </c>
      <c r="B37" s="3"/>
      <c r="C37" s="3">
        <f>C33-B33</f>
        <v>110.88</v>
      </c>
      <c r="D37" s="3"/>
      <c r="E37" s="3">
        <f>E33-D33</f>
        <v>-108.98</v>
      </c>
      <c r="F37" s="3"/>
      <c r="G37" s="3">
        <f>G33-F33</f>
        <v>-14.180000000000001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B00A-8277-4C5F-89AE-F43F96DE3F21}">
  <dimension ref="A1:G37"/>
  <sheetViews>
    <sheetView topLeftCell="A7" workbookViewId="0">
      <selection activeCell="I32" sqref="I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452.91</v>
      </c>
      <c r="C2" s="1">
        <v>455.18</v>
      </c>
      <c r="D2" s="1">
        <v>412.9</v>
      </c>
      <c r="E2" s="1">
        <v>426.65</v>
      </c>
      <c r="F2" s="1">
        <v>465.46</v>
      </c>
      <c r="G2" s="1">
        <v>477.27</v>
      </c>
    </row>
    <row r="3" spans="1:7" x14ac:dyDescent="0.25">
      <c r="A3" s="1" t="s">
        <v>7</v>
      </c>
      <c r="B3" s="1">
        <v>37.700000000000003</v>
      </c>
      <c r="C3" s="1">
        <v>39.31</v>
      </c>
      <c r="D3" s="1">
        <v>41.28</v>
      </c>
      <c r="E3" s="1">
        <v>45.47</v>
      </c>
      <c r="F3" s="1">
        <v>40.799999999999997</v>
      </c>
      <c r="G3" s="1">
        <v>51.8</v>
      </c>
    </row>
    <row r="4" spans="1:7" x14ac:dyDescent="0.25">
      <c r="A4" s="1" t="s">
        <v>8</v>
      </c>
      <c r="B4" s="1">
        <v>17367.37</v>
      </c>
      <c r="C4" s="1">
        <v>18199.32</v>
      </c>
      <c r="D4" s="1">
        <v>17324.650000000001</v>
      </c>
      <c r="E4" s="1">
        <v>19802.21</v>
      </c>
      <c r="F4" s="1">
        <v>19286.330000000002</v>
      </c>
      <c r="G4" s="1">
        <v>25163.15</v>
      </c>
    </row>
    <row r="5" spans="1:7" x14ac:dyDescent="0.25">
      <c r="A5" s="1" t="s">
        <v>9</v>
      </c>
      <c r="B5" s="1">
        <v>216.89</v>
      </c>
      <c r="C5" s="1">
        <v>133.71</v>
      </c>
      <c r="D5" s="1">
        <v>458.86</v>
      </c>
      <c r="E5" s="1">
        <v>541.20000000000005</v>
      </c>
      <c r="F5" s="1">
        <v>483.57</v>
      </c>
      <c r="G5" s="1">
        <v>315.14</v>
      </c>
    </row>
    <row r="6" spans="1:7" x14ac:dyDescent="0.25">
      <c r="A6" s="3" t="s">
        <v>10</v>
      </c>
      <c r="B6" s="3">
        <v>21.69</v>
      </c>
      <c r="C6" s="3">
        <v>13.51</v>
      </c>
      <c r="D6" s="3">
        <v>46.35</v>
      </c>
      <c r="E6" s="3">
        <v>54.67</v>
      </c>
      <c r="F6" s="3">
        <v>48.85</v>
      </c>
      <c r="G6" s="3">
        <v>32.159999999999997</v>
      </c>
    </row>
    <row r="7" spans="1:7" x14ac:dyDescent="0.25">
      <c r="A7" s="1" t="s">
        <v>11</v>
      </c>
      <c r="B7" s="1">
        <v>200.54</v>
      </c>
      <c r="C7" s="1">
        <v>99.31</v>
      </c>
      <c r="D7" s="1">
        <v>412.08</v>
      </c>
      <c r="E7" s="1">
        <v>505.4</v>
      </c>
      <c r="F7" s="1">
        <v>451.66</v>
      </c>
      <c r="G7" s="1">
        <v>263.39999999999998</v>
      </c>
    </row>
    <row r="8" spans="1:7" x14ac:dyDescent="0.25">
      <c r="A8" s="1" t="s">
        <v>12</v>
      </c>
      <c r="B8" s="1">
        <v>20.05</v>
      </c>
      <c r="C8" s="1">
        <v>10.029999999999999</v>
      </c>
      <c r="D8" s="1">
        <v>41.62</v>
      </c>
      <c r="E8" s="1">
        <v>51.05</v>
      </c>
      <c r="F8" s="1">
        <v>45.62</v>
      </c>
      <c r="G8" s="1">
        <v>26.88</v>
      </c>
    </row>
    <row r="9" spans="1:7" x14ac:dyDescent="0.25">
      <c r="A9" s="1" t="s">
        <v>13</v>
      </c>
      <c r="B9" s="1">
        <v>50.16</v>
      </c>
      <c r="C9" s="1">
        <v>13</v>
      </c>
      <c r="D9" s="1">
        <v>265.92</v>
      </c>
      <c r="E9" s="1">
        <v>179.43</v>
      </c>
      <c r="F9" s="1">
        <v>170.33</v>
      </c>
      <c r="G9" s="1">
        <v>101.32</v>
      </c>
    </row>
    <row r="10" spans="1:7" x14ac:dyDescent="0.25">
      <c r="A10" s="1" t="s">
        <v>14</v>
      </c>
      <c r="B10" s="1">
        <v>5.0199999999999996</v>
      </c>
      <c r="C10" s="1">
        <v>1.31</v>
      </c>
      <c r="D10" s="1">
        <v>26.86</v>
      </c>
      <c r="E10" s="1">
        <v>18.12</v>
      </c>
      <c r="F10" s="1">
        <v>17.2</v>
      </c>
      <c r="G10" s="1">
        <v>10.34</v>
      </c>
    </row>
    <row r="11" spans="1:7" x14ac:dyDescent="0.25">
      <c r="A11" s="1" t="s">
        <v>15</v>
      </c>
      <c r="B11" s="1">
        <v>47.73</v>
      </c>
      <c r="C11" s="1">
        <v>5.39</v>
      </c>
      <c r="D11" s="1">
        <v>242.38</v>
      </c>
      <c r="E11" s="1">
        <v>150.75</v>
      </c>
      <c r="F11" s="1">
        <v>174.62</v>
      </c>
      <c r="G11" s="1">
        <v>65.02</v>
      </c>
    </row>
    <row r="12" spans="1:7" x14ac:dyDescent="0.25">
      <c r="A12" s="1" t="s">
        <v>16</v>
      </c>
      <c r="B12" s="1">
        <v>208.42</v>
      </c>
      <c r="C12" s="1">
        <v>181.45</v>
      </c>
      <c r="D12" s="1">
        <v>183.76</v>
      </c>
      <c r="E12" s="1">
        <v>199.23</v>
      </c>
      <c r="F12" s="1">
        <v>221.95</v>
      </c>
      <c r="G12" s="1">
        <v>215.71</v>
      </c>
    </row>
    <row r="13" spans="1:7" x14ac:dyDescent="0.25">
      <c r="A13" s="1" t="s">
        <v>17</v>
      </c>
      <c r="B13" s="1">
        <v>67.73</v>
      </c>
      <c r="C13" s="1">
        <v>82.18</v>
      </c>
      <c r="D13" s="1">
        <v>43.83</v>
      </c>
      <c r="E13" s="1">
        <v>25.99</v>
      </c>
      <c r="F13" s="1">
        <v>14.67</v>
      </c>
      <c r="G13" s="1">
        <v>27.04</v>
      </c>
    </row>
    <row r="14" spans="1:7" x14ac:dyDescent="0.25">
      <c r="A14" s="1" t="s">
        <v>18</v>
      </c>
      <c r="B14" s="1">
        <v>81.05</v>
      </c>
      <c r="C14" s="1">
        <v>88.33</v>
      </c>
      <c r="D14" s="1">
        <v>86.06</v>
      </c>
      <c r="E14" s="1">
        <v>71.23</v>
      </c>
      <c r="F14" s="1">
        <v>51.81</v>
      </c>
      <c r="G14" s="1">
        <v>43.55</v>
      </c>
    </row>
    <row r="15" spans="1:7" x14ac:dyDescent="0.25">
      <c r="A15" s="1" t="s">
        <v>19</v>
      </c>
      <c r="B15" s="1">
        <v>1</v>
      </c>
      <c r="C15" s="1">
        <v>1</v>
      </c>
      <c r="D15" s="1">
        <v>3</v>
      </c>
      <c r="E15" s="1">
        <v>4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125.35</v>
      </c>
      <c r="C17" s="1">
        <v>56.15</v>
      </c>
      <c r="D17" s="1">
        <v>339</v>
      </c>
      <c r="E17" s="1">
        <v>342.42</v>
      </c>
      <c r="F17" s="1">
        <v>310.99</v>
      </c>
      <c r="G17" s="1">
        <v>182.36</v>
      </c>
    </row>
    <row r="18" spans="1:7" x14ac:dyDescent="0.25">
      <c r="A18" s="1" t="s">
        <v>22</v>
      </c>
      <c r="B18" s="1">
        <v>75.19</v>
      </c>
      <c r="C18" s="1">
        <v>43.16</v>
      </c>
      <c r="D18" s="1">
        <v>73.08</v>
      </c>
      <c r="E18" s="1">
        <v>162.99</v>
      </c>
      <c r="F18" s="1">
        <v>140.66999999999999</v>
      </c>
      <c r="G18" s="1">
        <v>81.040000000000006</v>
      </c>
    </row>
    <row r="19" spans="1:7" x14ac:dyDescent="0.25">
      <c r="A19" s="1" t="s">
        <v>23</v>
      </c>
      <c r="B19" s="1">
        <v>4</v>
      </c>
      <c r="C19" s="1">
        <v>5</v>
      </c>
      <c r="D19" s="1">
        <v>2</v>
      </c>
      <c r="E19" s="1">
        <v>5</v>
      </c>
      <c r="F19" s="1">
        <v>4</v>
      </c>
      <c r="G19" s="1">
        <v>4</v>
      </c>
    </row>
    <row r="20" spans="1:7" x14ac:dyDescent="0.25">
      <c r="A20" s="1" t="s">
        <v>24</v>
      </c>
      <c r="B20" s="1">
        <v>2.7</v>
      </c>
      <c r="C20" s="1">
        <v>4.2</v>
      </c>
      <c r="D20" s="1">
        <v>3.6</v>
      </c>
      <c r="E20" s="1">
        <v>3.5</v>
      </c>
      <c r="F20" s="1">
        <v>3.8</v>
      </c>
      <c r="G20" s="1">
        <v>4.9000000000000004</v>
      </c>
    </row>
    <row r="21" spans="1:7" x14ac:dyDescent="0.25">
      <c r="A21" s="1" t="s">
        <v>25</v>
      </c>
      <c r="B21" s="1">
        <v>7.4</v>
      </c>
      <c r="C21" s="1">
        <v>5.8</v>
      </c>
      <c r="D21" s="1">
        <v>6.4</v>
      </c>
      <c r="E21" s="1">
        <v>6.5</v>
      </c>
      <c r="F21" s="1">
        <v>6.2</v>
      </c>
      <c r="G21" s="1">
        <v>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5.6</v>
      </c>
      <c r="E25" s="1">
        <v>9</v>
      </c>
      <c r="F25" s="1">
        <v>8.6999999999999993</v>
      </c>
      <c r="G25" s="1">
        <v>8.6999999999999993</v>
      </c>
    </row>
    <row r="26" spans="1:7" x14ac:dyDescent="0.25">
      <c r="A26" s="1" t="s">
        <v>30</v>
      </c>
      <c r="B26" s="1">
        <v>0</v>
      </c>
      <c r="C26" s="1">
        <v>0</v>
      </c>
      <c r="D26" s="1">
        <v>4.4000000000000004</v>
      </c>
      <c r="E26" s="1">
        <v>1</v>
      </c>
      <c r="F26" s="1">
        <v>1.3</v>
      </c>
      <c r="G26" s="1">
        <v>1.2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55.999999999999993</v>
      </c>
      <c r="E30" s="3">
        <f t="shared" si="2"/>
        <v>90</v>
      </c>
      <c r="F30" s="3">
        <f t="shared" si="2"/>
        <v>86.999999999999986</v>
      </c>
      <c r="G30" s="3">
        <f t="shared" si="2"/>
        <v>87.87878787878789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44.000000000000007</v>
      </c>
      <c r="E31" s="3">
        <f t="shared" si="3"/>
        <v>10</v>
      </c>
      <c r="F31" s="3">
        <f t="shared" si="3"/>
        <v>13</v>
      </c>
      <c r="G31" s="3">
        <f t="shared" si="3"/>
        <v>12.121212121212123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4.9000000000000004</v>
      </c>
      <c r="C33" s="3">
        <v>-0.18</v>
      </c>
      <c r="D33" s="3">
        <v>25.37</v>
      </c>
      <c r="E33" s="3">
        <v>18.2</v>
      </c>
      <c r="F33" s="3">
        <v>15.25</v>
      </c>
      <c r="G33" s="3">
        <v>7.19</v>
      </c>
    </row>
    <row r="35" spans="1:7" x14ac:dyDescent="0.25">
      <c r="A35" s="3" t="s">
        <v>36</v>
      </c>
      <c r="B35" s="3"/>
      <c r="C35" s="3"/>
      <c r="D35" s="3">
        <f>D33-C33</f>
        <v>25.55</v>
      </c>
      <c r="E35" s="3"/>
      <c r="F35" s="3">
        <f>F33-E33</f>
        <v>-2.9499999999999993</v>
      </c>
      <c r="G35" s="3"/>
    </row>
    <row r="37" spans="1:7" x14ac:dyDescent="0.25">
      <c r="A37" s="3" t="s">
        <v>36</v>
      </c>
      <c r="B37" s="3"/>
      <c r="C37" s="3">
        <f>C33-B33</f>
        <v>-5.08</v>
      </c>
      <c r="D37" s="3"/>
      <c r="E37" s="3">
        <f>E33-D33</f>
        <v>-7.1700000000000017</v>
      </c>
      <c r="F37" s="3"/>
      <c r="G37" s="3">
        <f>G33-F33</f>
        <v>-8.0599999999999987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7B43-385E-4A2F-B468-1FD95BF60686}">
  <dimension ref="A1:G37"/>
  <sheetViews>
    <sheetView tabSelected="1" topLeftCell="A7" workbookViewId="0">
      <selection activeCell="J27" sqref="J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439.21</v>
      </c>
      <c r="C2" s="1">
        <v>418.85</v>
      </c>
      <c r="D2" s="1">
        <v>431.79</v>
      </c>
      <c r="E2" s="1">
        <v>451.59</v>
      </c>
      <c r="F2" s="1">
        <v>392.2</v>
      </c>
      <c r="G2" s="1">
        <v>411.44</v>
      </c>
    </row>
    <row r="3" spans="1:7" x14ac:dyDescent="0.25">
      <c r="A3" s="1" t="s">
        <v>7</v>
      </c>
      <c r="B3" s="1">
        <v>47.82</v>
      </c>
      <c r="C3" s="1">
        <v>55.9</v>
      </c>
      <c r="D3" s="1">
        <v>52.83</v>
      </c>
      <c r="E3" s="1">
        <v>41.67</v>
      </c>
      <c r="F3" s="1">
        <v>40.81</v>
      </c>
      <c r="G3" s="1">
        <v>43.81</v>
      </c>
    </row>
    <row r="4" spans="1:7" x14ac:dyDescent="0.25">
      <c r="A4" s="1" t="s">
        <v>8</v>
      </c>
      <c r="B4" s="1">
        <v>21346.21</v>
      </c>
      <c r="C4" s="1">
        <v>23546.74</v>
      </c>
      <c r="D4" s="1">
        <v>23025.19</v>
      </c>
      <c r="E4" s="1">
        <v>19291</v>
      </c>
      <c r="F4" s="1">
        <v>16371.09</v>
      </c>
      <c r="G4" s="1">
        <v>18444.939999999999</v>
      </c>
    </row>
    <row r="5" spans="1:7" x14ac:dyDescent="0.25">
      <c r="A5" s="1" t="s">
        <v>9</v>
      </c>
      <c r="B5" s="1">
        <v>346.92</v>
      </c>
      <c r="C5" s="1">
        <v>493.84</v>
      </c>
      <c r="D5" s="1">
        <v>1308.82</v>
      </c>
      <c r="E5" s="1">
        <v>1273.6099999999999</v>
      </c>
      <c r="F5" s="1">
        <v>817.94</v>
      </c>
      <c r="G5" s="1">
        <v>330.89</v>
      </c>
    </row>
    <row r="6" spans="1:7" x14ac:dyDescent="0.25">
      <c r="A6" s="3" t="s">
        <v>10</v>
      </c>
      <c r="B6" s="3">
        <v>34.69</v>
      </c>
      <c r="C6" s="3">
        <v>49.88</v>
      </c>
      <c r="D6" s="3">
        <v>132.19999999999999</v>
      </c>
      <c r="E6" s="3">
        <v>128.65</v>
      </c>
      <c r="F6" s="3">
        <v>82.62</v>
      </c>
      <c r="G6" s="3">
        <v>33.76</v>
      </c>
    </row>
    <row r="7" spans="1:7" x14ac:dyDescent="0.25">
      <c r="A7" s="1" t="s">
        <v>11</v>
      </c>
      <c r="B7" s="1">
        <v>303.39</v>
      </c>
      <c r="C7" s="1">
        <v>451.89</v>
      </c>
      <c r="D7" s="1">
        <v>1154.5899999999999</v>
      </c>
      <c r="E7" s="1">
        <v>1084.55</v>
      </c>
      <c r="F7" s="1">
        <v>774.11</v>
      </c>
      <c r="G7" s="1">
        <v>315.08</v>
      </c>
    </row>
    <row r="8" spans="1:7" x14ac:dyDescent="0.25">
      <c r="A8" s="1" t="s">
        <v>12</v>
      </c>
      <c r="B8" s="1">
        <v>30.34</v>
      </c>
      <c r="C8" s="1">
        <v>45.65</v>
      </c>
      <c r="D8" s="1">
        <v>116.63</v>
      </c>
      <c r="E8" s="1">
        <v>109.55</v>
      </c>
      <c r="F8" s="1">
        <v>78.19</v>
      </c>
      <c r="G8" s="1">
        <v>32.15</v>
      </c>
    </row>
    <row r="9" spans="1:7" x14ac:dyDescent="0.25">
      <c r="A9" s="1" t="s">
        <v>13</v>
      </c>
      <c r="B9" s="1">
        <v>202</v>
      </c>
      <c r="C9" s="1">
        <v>131.59</v>
      </c>
      <c r="D9" s="1">
        <v>1126.96</v>
      </c>
      <c r="E9" s="1">
        <v>1058.5899999999999</v>
      </c>
      <c r="F9" s="1">
        <v>205.95</v>
      </c>
      <c r="G9" s="1">
        <v>66.900000000000006</v>
      </c>
    </row>
    <row r="10" spans="1:7" x14ac:dyDescent="0.25">
      <c r="A10" s="1" t="s">
        <v>14</v>
      </c>
      <c r="B10" s="1">
        <v>20.2</v>
      </c>
      <c r="C10" s="1">
        <v>13.29</v>
      </c>
      <c r="D10" s="1">
        <v>113.83</v>
      </c>
      <c r="E10" s="1">
        <v>106.93</v>
      </c>
      <c r="F10" s="1">
        <v>20.8</v>
      </c>
      <c r="G10" s="1">
        <v>6.83</v>
      </c>
    </row>
    <row r="11" spans="1:7" x14ac:dyDescent="0.25">
      <c r="A11" s="1" t="s">
        <v>15</v>
      </c>
      <c r="B11" s="1">
        <v>179.97</v>
      </c>
      <c r="C11" s="1">
        <v>44.83</v>
      </c>
      <c r="D11" s="1">
        <v>729.27</v>
      </c>
      <c r="E11" s="1">
        <v>1103.32</v>
      </c>
      <c r="F11" s="1">
        <v>12.13</v>
      </c>
      <c r="G11" s="1">
        <v>44.68</v>
      </c>
    </row>
    <row r="12" spans="1:7" x14ac:dyDescent="0.25">
      <c r="A12" s="1" t="s">
        <v>16</v>
      </c>
      <c r="B12" s="1">
        <v>220.06</v>
      </c>
      <c r="C12" s="1">
        <v>176.9</v>
      </c>
      <c r="D12" s="1">
        <v>184.17</v>
      </c>
      <c r="E12" s="1">
        <v>222.76</v>
      </c>
      <c r="F12" s="1">
        <v>188.09</v>
      </c>
      <c r="G12" s="1">
        <v>196.7</v>
      </c>
    </row>
    <row r="13" spans="1:7" x14ac:dyDescent="0.25">
      <c r="A13" s="1" t="s">
        <v>17</v>
      </c>
      <c r="B13" s="1">
        <v>28.04</v>
      </c>
      <c r="C13" s="1">
        <v>46.59</v>
      </c>
      <c r="D13" s="1">
        <v>44.18</v>
      </c>
      <c r="E13" s="1">
        <v>24.58</v>
      </c>
      <c r="F13" s="1">
        <v>11.13</v>
      </c>
      <c r="G13" s="1">
        <v>23.65</v>
      </c>
    </row>
    <row r="14" spans="1:7" x14ac:dyDescent="0.25">
      <c r="A14" s="1" t="s">
        <v>18</v>
      </c>
      <c r="B14" s="1">
        <v>47.29</v>
      </c>
      <c r="C14" s="1">
        <v>77.63</v>
      </c>
      <c r="D14" s="1">
        <v>73.72</v>
      </c>
      <c r="E14" s="1">
        <v>58.27</v>
      </c>
      <c r="F14" s="1">
        <v>42.6</v>
      </c>
      <c r="G14" s="1">
        <v>50.55</v>
      </c>
    </row>
    <row r="15" spans="1:7" x14ac:dyDescent="0.25">
      <c r="A15" s="1" t="s">
        <v>19</v>
      </c>
      <c r="B15" s="1">
        <v>2</v>
      </c>
      <c r="C15" s="1">
        <v>2</v>
      </c>
      <c r="D15" s="1">
        <v>8</v>
      </c>
      <c r="E15" s="1">
        <v>5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252.69</v>
      </c>
      <c r="C17" s="1">
        <v>291.74</v>
      </c>
      <c r="D17" s="1">
        <v>1140.78</v>
      </c>
      <c r="E17" s="1">
        <v>1071.57</v>
      </c>
      <c r="F17" s="1">
        <v>490.03</v>
      </c>
      <c r="G17" s="1">
        <v>190.99</v>
      </c>
    </row>
    <row r="18" spans="1:7" x14ac:dyDescent="0.25">
      <c r="A18" s="1" t="s">
        <v>22</v>
      </c>
      <c r="B18" s="1">
        <v>50.7</v>
      </c>
      <c r="C18" s="1">
        <v>160.15</v>
      </c>
      <c r="D18" s="1">
        <v>13.81</v>
      </c>
      <c r="E18" s="1">
        <v>12.98</v>
      </c>
      <c r="F18" s="1">
        <v>284.08</v>
      </c>
      <c r="G18" s="1">
        <v>124.09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0</v>
      </c>
      <c r="F19" s="1">
        <v>4</v>
      </c>
      <c r="G19" s="1">
        <v>3</v>
      </c>
    </row>
    <row r="20" spans="1:7" x14ac:dyDescent="0.25">
      <c r="A20" s="1" t="s">
        <v>24</v>
      </c>
      <c r="B20" s="1">
        <v>2.1</v>
      </c>
      <c r="C20" s="1">
        <v>4.2</v>
      </c>
      <c r="D20" s="1">
        <v>0.6</v>
      </c>
      <c r="E20" s="1">
        <v>0</v>
      </c>
      <c r="F20" s="1">
        <v>4.7</v>
      </c>
      <c r="G20" s="1">
        <v>3.8</v>
      </c>
    </row>
    <row r="21" spans="1:7" x14ac:dyDescent="0.25">
      <c r="A21" s="1" t="s">
        <v>25</v>
      </c>
      <c r="B21" s="1">
        <v>8</v>
      </c>
      <c r="C21" s="1">
        <v>5.8</v>
      </c>
      <c r="D21" s="1">
        <v>9.4</v>
      </c>
      <c r="E21" s="1">
        <v>10</v>
      </c>
      <c r="F21" s="1">
        <v>5.3</v>
      </c>
      <c r="G21" s="1">
        <v>6.1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1.2</v>
      </c>
      <c r="D24" s="1">
        <v>0</v>
      </c>
      <c r="E24" s="1">
        <v>0</v>
      </c>
      <c r="F24" s="1">
        <v>1.8</v>
      </c>
      <c r="G24" s="1">
        <v>0</v>
      </c>
    </row>
    <row r="25" spans="1:7" x14ac:dyDescent="0.25">
      <c r="A25" s="1" t="s">
        <v>29</v>
      </c>
      <c r="B25" s="1">
        <v>7.2</v>
      </c>
      <c r="C25" s="1">
        <v>5.0999999999999996</v>
      </c>
      <c r="D25" s="1">
        <v>3</v>
      </c>
      <c r="E25" s="1">
        <v>0</v>
      </c>
      <c r="F25" s="1">
        <v>4.4000000000000004</v>
      </c>
      <c r="G25" s="1">
        <v>7.4</v>
      </c>
    </row>
    <row r="26" spans="1:7" x14ac:dyDescent="0.25">
      <c r="A26" s="1" t="s">
        <v>30</v>
      </c>
      <c r="B26" s="1">
        <v>2.9</v>
      </c>
      <c r="C26" s="1">
        <v>3.7</v>
      </c>
      <c r="D26" s="1">
        <v>7</v>
      </c>
      <c r="E26" s="1">
        <v>10</v>
      </c>
      <c r="F26" s="1">
        <v>3.8</v>
      </c>
      <c r="G26" s="1">
        <v>2.5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12</v>
      </c>
      <c r="D29" s="3">
        <f t="shared" si="1"/>
        <v>0</v>
      </c>
      <c r="E29" s="3">
        <f t="shared" si="1"/>
        <v>0</v>
      </c>
      <c r="F29" s="3">
        <f t="shared" si="1"/>
        <v>18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71.287128712871294</v>
      </c>
      <c r="C30" s="3">
        <f t="shared" ref="C30:G30" si="2">C25/C28*100</f>
        <v>51</v>
      </c>
      <c r="D30" s="3">
        <f t="shared" si="2"/>
        <v>30</v>
      </c>
      <c r="E30" s="3">
        <f t="shared" si="2"/>
        <v>0</v>
      </c>
      <c r="F30" s="3">
        <f t="shared" si="2"/>
        <v>44.000000000000007</v>
      </c>
      <c r="G30" s="3">
        <f t="shared" si="2"/>
        <v>74.747474747474755</v>
      </c>
    </row>
    <row r="31" spans="1:7" x14ac:dyDescent="0.25">
      <c r="A31" s="3" t="s">
        <v>34</v>
      </c>
      <c r="B31" s="3">
        <f>B26/B28*100</f>
        <v>28.71287128712871</v>
      </c>
      <c r="C31" s="3">
        <f t="shared" ref="C31:G31" si="3">C26/C28*100</f>
        <v>37</v>
      </c>
      <c r="D31" s="3">
        <f t="shared" si="3"/>
        <v>70</v>
      </c>
      <c r="E31" s="3">
        <f t="shared" si="3"/>
        <v>100</v>
      </c>
      <c r="F31" s="3">
        <f t="shared" si="3"/>
        <v>38</v>
      </c>
      <c r="G31" s="3">
        <f t="shared" si="3"/>
        <v>25.252525252525253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17.86</v>
      </c>
      <c r="C33" s="3">
        <v>4.66</v>
      </c>
      <c r="D33" s="3">
        <v>121.92</v>
      </c>
      <c r="E33" s="3">
        <v>125.8</v>
      </c>
      <c r="F33" s="3">
        <v>3.66</v>
      </c>
      <c r="G33" s="3">
        <v>7.11</v>
      </c>
    </row>
    <row r="35" spans="1:7" x14ac:dyDescent="0.25">
      <c r="A35" s="3" t="s">
        <v>36</v>
      </c>
      <c r="B35" s="3"/>
      <c r="C35" s="3"/>
      <c r="D35" s="3">
        <f>D33-C33</f>
        <v>117.26</v>
      </c>
      <c r="E35" s="3"/>
      <c r="F35" s="3">
        <f>F33-E33</f>
        <v>-122.14</v>
      </c>
      <c r="G35" s="3"/>
    </row>
    <row r="37" spans="1:7" x14ac:dyDescent="0.25">
      <c r="A37" s="3" t="s">
        <v>36</v>
      </c>
      <c r="B37" s="3"/>
      <c r="C37" s="3">
        <f>C33-B33</f>
        <v>-13.2</v>
      </c>
      <c r="D37" s="3"/>
      <c r="E37" s="3">
        <f>E33-D33</f>
        <v>3.8799999999999955</v>
      </c>
      <c r="F37" s="3"/>
      <c r="G37" s="3">
        <f>G33-F33</f>
        <v>3.45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CB66-DEDD-4858-A9AC-4B6EBEE3D8BF}">
  <dimension ref="A1:G37"/>
  <sheetViews>
    <sheetView topLeftCell="A7" workbookViewId="0">
      <selection activeCell="K25" sqref="K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231003C001.1</vt:lpstr>
      <vt:lpstr>231003C001.2</vt:lpstr>
      <vt:lpstr>231003C001.4</vt:lpstr>
      <vt:lpstr>231003C001.5</vt:lpstr>
      <vt:lpstr>231003C002.1</vt:lpstr>
      <vt:lpstr>231003C002.3</vt:lpstr>
      <vt:lpstr>231003C002.5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2023-10-17T18:29:34Z</dcterms:created>
  <dcterms:modified xsi:type="dcterms:W3CDTF">2023-10-19T22:32:37Z</dcterms:modified>
</cp:coreProperties>
</file>