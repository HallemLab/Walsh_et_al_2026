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31\WormLab Data\"/>
    </mc:Choice>
  </mc:AlternateContent>
  <xr:revisionPtr revIDLastSave="0" documentId="13_ncr:1_{FAEA00DE-E8E4-45A3-B21C-C863CE3B4DB6}" xr6:coauthVersionLast="36" xr6:coauthVersionMax="36" xr10:uidLastSave="{00000000-0000-0000-0000-000000000000}"/>
  <bookViews>
    <workbookView xWindow="0" yWindow="0" windowWidth="15300" windowHeight="7485" firstSheet="3" activeTab="7" xr2:uid="{68504E7E-F678-4916-8668-1C7A4F3A5D9F}"/>
  </bookViews>
  <sheets>
    <sheet name="231031C003.1" sheetId="2" r:id="rId1"/>
    <sheet name="231031C003.3" sheetId="3" r:id="rId2"/>
    <sheet name="231031C003.4" sheetId="4" r:id="rId3"/>
    <sheet name="231031C003.5" sheetId="5" r:id="rId4"/>
    <sheet name="231031C004.1" sheetId="6" r:id="rId5"/>
    <sheet name="231031C004.2" sheetId="7" r:id="rId6"/>
    <sheet name="231031C004.5" sheetId="1" r:id="rId7"/>
    <sheet name="template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7" i="8" l="1"/>
  <c r="E37" i="8"/>
  <c r="C37" i="8"/>
  <c r="F35" i="8"/>
  <c r="D35" i="8"/>
  <c r="F31" i="8"/>
  <c r="E31" i="8"/>
  <c r="D31" i="8"/>
  <c r="C31" i="8"/>
  <c r="B31" i="8"/>
  <c r="G30" i="8"/>
  <c r="F30" i="8"/>
  <c r="E30" i="8"/>
  <c r="D30" i="8"/>
  <c r="C30" i="8"/>
  <c r="B30" i="8"/>
  <c r="G29" i="8"/>
  <c r="F29" i="8"/>
  <c r="E29" i="8"/>
  <c r="G28" i="8"/>
  <c r="G31" i="8" s="1"/>
  <c r="F28" i="8"/>
  <c r="E28" i="8"/>
  <c r="D28" i="8"/>
  <c r="D29" i="8" s="1"/>
  <c r="C28" i="8"/>
  <c r="C29" i="8" s="1"/>
  <c r="B28" i="8"/>
  <c r="B29" i="8" s="1"/>
  <c r="G37" i="7"/>
  <c r="E37" i="7"/>
  <c r="C37" i="7"/>
  <c r="F35" i="7"/>
  <c r="D35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G28" i="7"/>
  <c r="F28" i="7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F31" i="6"/>
  <c r="E31" i="6"/>
  <c r="D31" i="6"/>
  <c r="C31" i="6"/>
  <c r="B31" i="6"/>
  <c r="F30" i="6"/>
  <c r="E30" i="6"/>
  <c r="D30" i="6"/>
  <c r="C30" i="6"/>
  <c r="B30" i="6"/>
  <c r="F29" i="6"/>
  <c r="E29" i="6"/>
  <c r="D29" i="6"/>
  <c r="C29" i="6"/>
  <c r="B29" i="6"/>
  <c r="G28" i="6"/>
  <c r="G31" i="6" s="1"/>
  <c r="F28" i="6"/>
  <c r="E28" i="6"/>
  <c r="D28" i="6"/>
  <c r="C28" i="6"/>
  <c r="B28" i="6"/>
  <c r="G37" i="5"/>
  <c r="E37" i="5"/>
  <c r="C37" i="5"/>
  <c r="F35" i="5"/>
  <c r="D35" i="5"/>
  <c r="G31" i="5"/>
  <c r="F31" i="5"/>
  <c r="D31" i="5"/>
  <c r="C31" i="5"/>
  <c r="B31" i="5"/>
  <c r="G30" i="5"/>
  <c r="F30" i="5"/>
  <c r="E30" i="5"/>
  <c r="D30" i="5"/>
  <c r="C30" i="5"/>
  <c r="B30" i="5"/>
  <c r="G29" i="5"/>
  <c r="F29" i="5"/>
  <c r="E29" i="5"/>
  <c r="D29" i="5"/>
  <c r="G28" i="5"/>
  <c r="F28" i="5"/>
  <c r="E28" i="5"/>
  <c r="E31" i="5" s="1"/>
  <c r="D28" i="5"/>
  <c r="C28" i="5"/>
  <c r="C29" i="5" s="1"/>
  <c r="B28" i="5"/>
  <c r="B29" i="5" s="1"/>
  <c r="G37" i="4"/>
  <c r="E37" i="4"/>
  <c r="C37" i="4"/>
  <c r="F35" i="4"/>
  <c r="D35" i="4"/>
  <c r="G31" i="4"/>
  <c r="F31" i="4"/>
  <c r="E31" i="4"/>
  <c r="D31" i="4"/>
  <c r="C31" i="4"/>
  <c r="B31" i="4"/>
  <c r="G30" i="4"/>
  <c r="F30" i="4"/>
  <c r="E30" i="4"/>
  <c r="D30" i="4"/>
  <c r="C30" i="4"/>
  <c r="B30" i="4"/>
  <c r="G29" i="4"/>
  <c r="F29" i="4"/>
  <c r="E29" i="4"/>
  <c r="G28" i="4"/>
  <c r="F28" i="4"/>
  <c r="E28" i="4"/>
  <c r="D28" i="4"/>
  <c r="D29" i="4" s="1"/>
  <c r="C28" i="4"/>
  <c r="C29" i="4" s="1"/>
  <c r="B28" i="4"/>
  <c r="B29" i="4" s="1"/>
  <c r="G37" i="3"/>
  <c r="E37" i="3"/>
  <c r="C37" i="3"/>
  <c r="F35" i="3"/>
  <c r="D35" i="3"/>
  <c r="F31" i="3"/>
  <c r="E31" i="3"/>
  <c r="D31" i="3"/>
  <c r="C31" i="3"/>
  <c r="B31" i="3"/>
  <c r="F30" i="3"/>
  <c r="E30" i="3"/>
  <c r="D30" i="3"/>
  <c r="C30" i="3"/>
  <c r="B30" i="3"/>
  <c r="F29" i="3"/>
  <c r="E29" i="3"/>
  <c r="G28" i="3"/>
  <c r="G31" i="3" s="1"/>
  <c r="F28" i="3"/>
  <c r="E28" i="3"/>
  <c r="D28" i="3"/>
  <c r="D29" i="3" s="1"/>
  <c r="C28" i="3"/>
  <c r="C29" i="3" s="1"/>
  <c r="B28" i="3"/>
  <c r="B29" i="3" s="1"/>
  <c r="G37" i="2"/>
  <c r="E37" i="2"/>
  <c r="C37" i="2"/>
  <c r="F35" i="2"/>
  <c r="D35" i="2"/>
  <c r="F31" i="2"/>
  <c r="C31" i="2"/>
  <c r="F30" i="2"/>
  <c r="G28" i="2"/>
  <c r="G31" i="2" s="1"/>
  <c r="F28" i="2"/>
  <c r="F29" i="2" s="1"/>
  <c r="E28" i="2"/>
  <c r="E31" i="2" s="1"/>
  <c r="D28" i="2"/>
  <c r="D31" i="2" s="1"/>
  <c r="C28" i="2"/>
  <c r="C30" i="2" s="1"/>
  <c r="B28" i="2"/>
  <c r="B29" i="2" s="1"/>
  <c r="G37" i="1"/>
  <c r="E37" i="1"/>
  <c r="C37" i="1"/>
  <c r="F35" i="1"/>
  <c r="D35" i="1"/>
  <c r="G28" i="1"/>
  <c r="G31" i="1" s="1"/>
  <c r="F28" i="1"/>
  <c r="F31" i="1" s="1"/>
  <c r="E28" i="1"/>
  <c r="E31" i="1" s="1"/>
  <c r="D28" i="1"/>
  <c r="D31" i="1" s="1"/>
  <c r="C28" i="1"/>
  <c r="C31" i="1" s="1"/>
  <c r="B28" i="1"/>
  <c r="B31" i="1" s="1"/>
  <c r="G29" i="6" l="1"/>
  <c r="G30" i="6"/>
  <c r="G30" i="3"/>
  <c r="G29" i="3"/>
  <c r="E29" i="2"/>
  <c r="G29" i="2"/>
  <c r="C29" i="2"/>
  <c r="D29" i="2"/>
  <c r="B30" i="2"/>
  <c r="D30" i="2"/>
  <c r="E30" i="2"/>
  <c r="G30" i="2"/>
  <c r="B31" i="2"/>
  <c r="E29" i="1"/>
  <c r="B29" i="1"/>
  <c r="D29" i="1"/>
  <c r="F29" i="1"/>
  <c r="G29" i="1"/>
  <c r="B30" i="1"/>
  <c r="C30" i="1"/>
  <c r="D30" i="1"/>
  <c r="E30" i="1"/>
  <c r="F30" i="1"/>
  <c r="G30" i="1"/>
  <c r="C29" i="1"/>
</calcChain>
</file>

<file path=xl/sharedStrings.xml><?xml version="1.0" encoding="utf-8"?>
<sst xmlns="http://schemas.openxmlformats.org/spreadsheetml/2006/main" count="304" uniqueCount="37">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</sst>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E64AB-2682-4102-A4A1-3DAEAAD6B29B}">
  <dimension ref="A1:I37"/>
  <sheetViews>
    <sheetView topLeftCell="A10" workbookViewId="0">
      <selection activeCell="B30" sqref="B30:G3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9" x14ac:dyDescent="0.25">
      <c r="A2" s="1" t="s">
        <v>6</v>
      </c>
      <c r="B2" s="1">
        <v>510.48</v>
      </c>
      <c r="C2" s="1">
        <v>476.67</v>
      </c>
      <c r="D2" s="1">
        <v>483.94</v>
      </c>
      <c r="E2" s="1">
        <v>434.95</v>
      </c>
      <c r="F2" s="1">
        <v>433.41</v>
      </c>
      <c r="G2" s="1">
        <v>464.96</v>
      </c>
    </row>
    <row r="3" spans="1:9" x14ac:dyDescent="0.25">
      <c r="A3" s="1" t="s">
        <v>7</v>
      </c>
      <c r="B3" s="1">
        <v>40.479999999999997</v>
      </c>
      <c r="C3" s="1">
        <v>38.950000000000003</v>
      </c>
      <c r="D3" s="1">
        <v>37.11</v>
      </c>
      <c r="E3" s="1">
        <v>37.799999999999997</v>
      </c>
      <c r="F3" s="1">
        <v>34.090000000000003</v>
      </c>
      <c r="G3" s="1">
        <v>35.78</v>
      </c>
    </row>
    <row r="4" spans="1:9" x14ac:dyDescent="0.25">
      <c r="A4" s="1" t="s">
        <v>8</v>
      </c>
      <c r="B4" s="1">
        <v>21013.49</v>
      </c>
      <c r="C4" s="1">
        <v>18846.53</v>
      </c>
      <c r="D4" s="1">
        <v>18255.240000000002</v>
      </c>
      <c r="E4" s="1">
        <v>16587.3</v>
      </c>
      <c r="F4" s="1">
        <v>14956.92</v>
      </c>
      <c r="G4" s="1">
        <v>16928.41</v>
      </c>
    </row>
    <row r="5" spans="1:9" x14ac:dyDescent="0.25">
      <c r="A5" s="1" t="s">
        <v>9</v>
      </c>
      <c r="B5" s="1">
        <v>1066.97</v>
      </c>
      <c r="C5" s="1">
        <v>607</v>
      </c>
      <c r="D5" s="1">
        <v>2107.02</v>
      </c>
      <c r="E5" s="1">
        <v>1120.8800000000001</v>
      </c>
      <c r="F5" s="1">
        <v>660.75</v>
      </c>
      <c r="G5" s="1">
        <v>511.95</v>
      </c>
    </row>
    <row r="6" spans="1:9" x14ac:dyDescent="0.25">
      <c r="A6" s="3" t="s">
        <v>10</v>
      </c>
      <c r="B6" s="3">
        <v>106.7</v>
      </c>
      <c r="C6" s="3">
        <v>61.31</v>
      </c>
      <c r="D6" s="3">
        <v>212.83</v>
      </c>
      <c r="E6" s="3">
        <v>113.22</v>
      </c>
      <c r="F6" s="3">
        <v>66.739999999999995</v>
      </c>
      <c r="G6" s="3">
        <v>52.24</v>
      </c>
    </row>
    <row r="7" spans="1:9" x14ac:dyDescent="0.25">
      <c r="A7" s="1" t="s">
        <v>11</v>
      </c>
      <c r="B7" s="1">
        <v>983.94</v>
      </c>
      <c r="C7" s="1">
        <v>586.78</v>
      </c>
      <c r="D7" s="1">
        <v>1927.45</v>
      </c>
      <c r="E7" s="1">
        <v>901.81</v>
      </c>
      <c r="F7" s="1">
        <v>533.41999999999996</v>
      </c>
      <c r="G7" s="1">
        <v>490.82</v>
      </c>
    </row>
    <row r="8" spans="1:9" x14ac:dyDescent="0.25">
      <c r="A8" s="1" t="s">
        <v>12</v>
      </c>
      <c r="B8" s="1">
        <v>98.39</v>
      </c>
      <c r="C8" s="1">
        <v>59.27</v>
      </c>
      <c r="D8" s="1">
        <v>194.69</v>
      </c>
      <c r="E8" s="1">
        <v>91.09</v>
      </c>
      <c r="F8" s="1">
        <v>53.88</v>
      </c>
      <c r="G8" s="1">
        <v>50.08</v>
      </c>
    </row>
    <row r="9" spans="1:9" x14ac:dyDescent="0.25">
      <c r="A9" s="1" t="s">
        <v>13</v>
      </c>
      <c r="B9" s="1">
        <v>983.94</v>
      </c>
      <c r="C9" s="1">
        <v>585.08000000000004</v>
      </c>
      <c r="D9" s="1">
        <v>1927.45</v>
      </c>
      <c r="E9" s="1">
        <v>-709.63</v>
      </c>
      <c r="F9" s="1">
        <v>121.91</v>
      </c>
      <c r="G9" s="1">
        <v>313.99</v>
      </c>
    </row>
    <row r="10" spans="1:9" x14ac:dyDescent="0.25">
      <c r="A10" s="1" t="s">
        <v>14</v>
      </c>
      <c r="B10" s="1">
        <v>98.39</v>
      </c>
      <c r="C10" s="1">
        <v>59.1</v>
      </c>
      <c r="D10" s="1">
        <v>194.69</v>
      </c>
      <c r="E10" s="1">
        <v>-71.680000000000007</v>
      </c>
      <c r="F10" s="1">
        <v>12.31</v>
      </c>
      <c r="G10" s="1">
        <v>32.04</v>
      </c>
    </row>
    <row r="11" spans="1:9" x14ac:dyDescent="0.25">
      <c r="A11" s="1" t="s">
        <v>15</v>
      </c>
      <c r="B11" s="1">
        <v>881.35</v>
      </c>
      <c r="C11" s="1">
        <v>518.69000000000005</v>
      </c>
      <c r="D11" s="1">
        <v>1774.98</v>
      </c>
      <c r="E11" s="1">
        <v>443.54</v>
      </c>
      <c r="F11" s="1">
        <v>115.72</v>
      </c>
      <c r="G11" s="1">
        <v>129.6</v>
      </c>
      <c r="I11">
        <v>103.33</v>
      </c>
    </row>
    <row r="12" spans="1:9" x14ac:dyDescent="0.25">
      <c r="A12" s="1" t="s">
        <v>16</v>
      </c>
      <c r="B12" s="1">
        <v>246.98</v>
      </c>
      <c r="C12" s="1">
        <v>237.22</v>
      </c>
      <c r="D12" s="1">
        <v>232.68</v>
      </c>
      <c r="E12" s="1">
        <v>194.02</v>
      </c>
      <c r="F12" s="1">
        <v>194.93</v>
      </c>
      <c r="G12" s="1">
        <v>213.08</v>
      </c>
      <c r="I12">
        <v>59.7</v>
      </c>
    </row>
    <row r="13" spans="1:9" x14ac:dyDescent="0.25">
      <c r="A13" s="1" t="s">
        <v>17</v>
      </c>
      <c r="B13" s="1">
        <v>22.66</v>
      </c>
      <c r="C13" s="1">
        <v>18.5</v>
      </c>
      <c r="D13" s="1">
        <v>32.78</v>
      </c>
      <c r="E13" s="1">
        <v>40.81</v>
      </c>
      <c r="F13" s="1">
        <v>39.25</v>
      </c>
      <c r="G13" s="1">
        <v>15.66</v>
      </c>
      <c r="I13">
        <v>206.6</v>
      </c>
    </row>
    <row r="14" spans="1:9" x14ac:dyDescent="0.25">
      <c r="A14" s="1" t="s">
        <v>18</v>
      </c>
      <c r="B14" s="1">
        <v>61.35</v>
      </c>
      <c r="C14" s="1">
        <v>46.63</v>
      </c>
      <c r="D14" s="1">
        <v>64.47</v>
      </c>
      <c r="E14" s="1">
        <v>93.23</v>
      </c>
      <c r="F14" s="1">
        <v>62.75</v>
      </c>
      <c r="G14" s="1">
        <v>56.07</v>
      </c>
      <c r="I14">
        <v>-70.22</v>
      </c>
    </row>
    <row r="15" spans="1:9" x14ac:dyDescent="0.25">
      <c r="A15" s="1" t="s">
        <v>19</v>
      </c>
      <c r="B15" s="1">
        <v>3</v>
      </c>
      <c r="C15" s="1">
        <v>2</v>
      </c>
      <c r="D15" s="1">
        <v>8</v>
      </c>
      <c r="E15" s="1">
        <v>5</v>
      </c>
      <c r="F15" s="1">
        <v>1</v>
      </c>
      <c r="G15" s="1">
        <v>3</v>
      </c>
      <c r="I15">
        <v>16.55</v>
      </c>
    </row>
    <row r="16" spans="1:9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  <c r="I16">
        <v>20.52</v>
      </c>
    </row>
    <row r="17" spans="1:7" x14ac:dyDescent="0.25">
      <c r="A17" s="1" t="s">
        <v>21</v>
      </c>
      <c r="B17" s="1">
        <v>983.94</v>
      </c>
      <c r="C17" s="1">
        <v>585.92999999999995</v>
      </c>
      <c r="D17" s="1">
        <v>1927.45</v>
      </c>
      <c r="E17" s="1">
        <v>96.09</v>
      </c>
      <c r="F17" s="1">
        <v>327.67</v>
      </c>
      <c r="G17" s="1">
        <v>402.4</v>
      </c>
    </row>
    <row r="18" spans="1:7" x14ac:dyDescent="0.25">
      <c r="A18" s="1" t="s">
        <v>22</v>
      </c>
      <c r="B18" s="1">
        <v>0</v>
      </c>
      <c r="C18" s="1">
        <v>0.85</v>
      </c>
      <c r="D18" s="1">
        <v>0</v>
      </c>
      <c r="E18" s="1">
        <v>805.72</v>
      </c>
      <c r="F18" s="1">
        <v>205.75</v>
      </c>
      <c r="G18" s="1">
        <v>88.41</v>
      </c>
    </row>
    <row r="19" spans="1:7" x14ac:dyDescent="0.25">
      <c r="A19" s="1" t="s">
        <v>23</v>
      </c>
      <c r="B19" s="1">
        <v>0</v>
      </c>
      <c r="C19" s="1">
        <v>0</v>
      </c>
      <c r="D19" s="1">
        <v>0</v>
      </c>
      <c r="E19" s="1">
        <v>1</v>
      </c>
      <c r="F19" s="1">
        <v>2</v>
      </c>
      <c r="G19" s="1">
        <v>2</v>
      </c>
    </row>
    <row r="20" spans="1:7" x14ac:dyDescent="0.25">
      <c r="A20" s="1" t="s">
        <v>24</v>
      </c>
      <c r="B20" s="1">
        <v>0</v>
      </c>
      <c r="C20" s="1">
        <v>0</v>
      </c>
      <c r="D20" s="1">
        <v>0</v>
      </c>
      <c r="E20" s="1">
        <v>8</v>
      </c>
      <c r="F20" s="1">
        <v>2.4</v>
      </c>
      <c r="G20" s="1">
        <v>3.5</v>
      </c>
    </row>
    <row r="21" spans="1:7" x14ac:dyDescent="0.25">
      <c r="A21" s="1" t="s">
        <v>25</v>
      </c>
      <c r="B21" s="1">
        <v>10.1</v>
      </c>
      <c r="C21" s="1">
        <v>10</v>
      </c>
      <c r="D21" s="1">
        <v>10</v>
      </c>
      <c r="E21" s="1">
        <v>2</v>
      </c>
      <c r="F21" s="1">
        <v>7.6</v>
      </c>
      <c r="G21" s="1">
        <v>6.4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7.6</v>
      </c>
      <c r="F24" s="1">
        <v>0</v>
      </c>
      <c r="G24" s="1">
        <v>1.9</v>
      </c>
    </row>
    <row r="25" spans="1:7" x14ac:dyDescent="0.25">
      <c r="A25" s="1" t="s">
        <v>29</v>
      </c>
      <c r="B25" s="1">
        <v>0</v>
      </c>
      <c r="C25" s="1">
        <v>1.7</v>
      </c>
      <c r="D25" s="1">
        <v>0</v>
      </c>
      <c r="E25" s="1">
        <v>0</v>
      </c>
      <c r="F25" s="1">
        <v>7.5</v>
      </c>
      <c r="G25" s="1">
        <v>4.2</v>
      </c>
    </row>
    <row r="26" spans="1:7" x14ac:dyDescent="0.25">
      <c r="A26" s="1" t="s">
        <v>30</v>
      </c>
      <c r="B26" s="1">
        <v>10.1</v>
      </c>
      <c r="C26" s="1">
        <v>8.3000000000000007</v>
      </c>
      <c r="D26" s="1">
        <v>10</v>
      </c>
      <c r="E26" s="1">
        <v>2.4</v>
      </c>
      <c r="F26" s="1">
        <v>2.5</v>
      </c>
      <c r="G26" s="1">
        <v>3.8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76</v>
      </c>
      <c r="F29" s="3">
        <f t="shared" si="1"/>
        <v>0</v>
      </c>
      <c r="G29" s="3">
        <f t="shared" si="1"/>
        <v>19.191919191919194</v>
      </c>
    </row>
    <row r="30" spans="1:7" x14ac:dyDescent="0.25">
      <c r="A30" s="3" t="s">
        <v>33</v>
      </c>
      <c r="B30" s="3">
        <f>B25/B28*100</f>
        <v>0</v>
      </c>
      <c r="C30" s="3">
        <f t="shared" ref="C30:G30" si="2">C25/C28*100</f>
        <v>17</v>
      </c>
      <c r="D30" s="3">
        <f t="shared" si="2"/>
        <v>0</v>
      </c>
      <c r="E30" s="3">
        <f t="shared" si="2"/>
        <v>0</v>
      </c>
      <c r="F30" s="3">
        <f t="shared" si="2"/>
        <v>75</v>
      </c>
      <c r="G30" s="3">
        <f t="shared" si="2"/>
        <v>42.424242424242429</v>
      </c>
    </row>
    <row r="31" spans="1:7" x14ac:dyDescent="0.25">
      <c r="A31" s="3" t="s">
        <v>34</v>
      </c>
      <c r="B31" s="3">
        <f>B26/B28*100</f>
        <v>100</v>
      </c>
      <c r="C31" s="3">
        <f t="shared" ref="C31:G31" si="3">C26/C28*100</f>
        <v>83</v>
      </c>
      <c r="D31" s="3">
        <f t="shared" si="3"/>
        <v>100</v>
      </c>
      <c r="E31" s="3">
        <f t="shared" si="3"/>
        <v>24</v>
      </c>
      <c r="F31" s="3">
        <f t="shared" si="3"/>
        <v>25</v>
      </c>
      <c r="G31" s="3">
        <f t="shared" si="3"/>
        <v>38.383838383838388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103.33</v>
      </c>
      <c r="C33" s="3">
        <v>59.7</v>
      </c>
      <c r="D33" s="3">
        <v>206.6</v>
      </c>
      <c r="E33" s="3">
        <v>-70.22</v>
      </c>
      <c r="F33" s="3">
        <v>16.55</v>
      </c>
      <c r="G33" s="3">
        <v>20.52</v>
      </c>
    </row>
    <row r="35" spans="1:7" x14ac:dyDescent="0.25">
      <c r="A35" s="3" t="s">
        <v>36</v>
      </c>
      <c r="B35" s="3"/>
      <c r="C35" s="3"/>
      <c r="D35" s="3">
        <f>D33-C33</f>
        <v>146.89999999999998</v>
      </c>
      <c r="E35" s="3"/>
      <c r="F35" s="3">
        <f>F33-E33</f>
        <v>86.77</v>
      </c>
      <c r="G35" s="3"/>
    </row>
    <row r="37" spans="1:7" x14ac:dyDescent="0.25">
      <c r="A37" s="3" t="s">
        <v>36</v>
      </c>
      <c r="B37" s="3"/>
      <c r="C37" s="3">
        <f>C33-B33</f>
        <v>-43.629999999999995</v>
      </c>
      <c r="D37" s="3"/>
      <c r="E37" s="3">
        <f>E33-D33</f>
        <v>-276.82</v>
      </c>
      <c r="F37" s="3"/>
      <c r="G37" s="3">
        <f>G33-F33</f>
        <v>3.9699999999999989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11659-2775-44E2-9C79-747AC1388C2A}">
  <dimension ref="A1:G37"/>
  <sheetViews>
    <sheetView topLeftCell="A10" workbookViewId="0">
      <selection activeCell="A40" sqref="A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453.01</v>
      </c>
      <c r="C2" s="1">
        <v>457.9</v>
      </c>
      <c r="D2" s="1">
        <v>460.54</v>
      </c>
      <c r="E2" s="1">
        <v>410.29</v>
      </c>
      <c r="F2" s="1">
        <v>412.56</v>
      </c>
      <c r="G2" s="1">
        <v>348.1</v>
      </c>
    </row>
    <row r="3" spans="1:7" x14ac:dyDescent="0.25">
      <c r="A3" s="1" t="s">
        <v>7</v>
      </c>
      <c r="B3" s="1">
        <v>39.020000000000003</v>
      </c>
      <c r="C3" s="1">
        <v>36.29</v>
      </c>
      <c r="D3" s="1">
        <v>43.07</v>
      </c>
      <c r="E3" s="1">
        <v>41.65</v>
      </c>
      <c r="F3" s="1">
        <v>37.78</v>
      </c>
      <c r="G3" s="1">
        <v>37.15</v>
      </c>
    </row>
    <row r="4" spans="1:7" x14ac:dyDescent="0.25">
      <c r="A4" s="1" t="s">
        <v>8</v>
      </c>
      <c r="B4" s="1">
        <v>17984.45</v>
      </c>
      <c r="C4" s="1">
        <v>16887.11</v>
      </c>
      <c r="D4" s="1">
        <v>20242.3</v>
      </c>
      <c r="E4" s="1">
        <v>17390</v>
      </c>
      <c r="F4" s="1">
        <v>15855.28</v>
      </c>
      <c r="G4" s="1">
        <v>13338.91</v>
      </c>
    </row>
    <row r="5" spans="1:7" x14ac:dyDescent="0.25">
      <c r="A5" s="1" t="s">
        <v>9</v>
      </c>
      <c r="B5" s="1">
        <v>641.5</v>
      </c>
      <c r="C5" s="1">
        <v>241.94</v>
      </c>
      <c r="D5" s="1">
        <v>1773.89</v>
      </c>
      <c r="E5" s="1">
        <v>385.33</v>
      </c>
      <c r="F5" s="1">
        <v>551.85</v>
      </c>
      <c r="G5" s="1">
        <v>326.55</v>
      </c>
    </row>
    <row r="6" spans="1:7" x14ac:dyDescent="0.25">
      <c r="A6" s="3" t="s">
        <v>10</v>
      </c>
      <c r="B6" s="3">
        <v>64.150000000000006</v>
      </c>
      <c r="C6" s="3">
        <v>24.44</v>
      </c>
      <c r="D6" s="3">
        <v>179.18</v>
      </c>
      <c r="E6" s="3">
        <v>38.92</v>
      </c>
      <c r="F6" s="3">
        <v>55.74</v>
      </c>
      <c r="G6" s="3">
        <v>33.32</v>
      </c>
    </row>
    <row r="7" spans="1:7" x14ac:dyDescent="0.25">
      <c r="A7" s="1" t="s">
        <v>11</v>
      </c>
      <c r="B7" s="1">
        <v>490.74</v>
      </c>
      <c r="C7" s="1">
        <v>218.55</v>
      </c>
      <c r="D7" s="1">
        <v>1493.55</v>
      </c>
      <c r="E7" s="1">
        <v>312.58999999999997</v>
      </c>
      <c r="F7" s="1">
        <v>514.70000000000005</v>
      </c>
      <c r="G7" s="1">
        <v>296.45</v>
      </c>
    </row>
    <row r="8" spans="1:7" x14ac:dyDescent="0.25">
      <c r="A8" s="1" t="s">
        <v>12</v>
      </c>
      <c r="B8" s="1">
        <v>49.07</v>
      </c>
      <c r="C8" s="1">
        <v>22.08</v>
      </c>
      <c r="D8" s="1">
        <v>150.86000000000001</v>
      </c>
      <c r="E8" s="1">
        <v>31.57</v>
      </c>
      <c r="F8" s="1">
        <v>51.99</v>
      </c>
      <c r="G8" s="1">
        <v>30.25</v>
      </c>
    </row>
    <row r="9" spans="1:7" x14ac:dyDescent="0.25">
      <c r="A9" s="1" t="s">
        <v>13</v>
      </c>
      <c r="B9" s="1">
        <v>417.35</v>
      </c>
      <c r="C9" s="1">
        <v>120.74</v>
      </c>
      <c r="D9" s="1">
        <v>1493.55</v>
      </c>
      <c r="E9" s="1">
        <v>141.75</v>
      </c>
      <c r="F9" s="1">
        <v>215.17</v>
      </c>
      <c r="G9" s="1">
        <v>-92.47</v>
      </c>
    </row>
    <row r="10" spans="1:7" x14ac:dyDescent="0.25">
      <c r="A10" s="1" t="s">
        <v>14</v>
      </c>
      <c r="B10" s="1">
        <v>41.74</v>
      </c>
      <c r="C10" s="1">
        <v>12.2</v>
      </c>
      <c r="D10" s="1">
        <v>150.86000000000001</v>
      </c>
      <c r="E10" s="1">
        <v>14.32</v>
      </c>
      <c r="F10" s="1">
        <v>21.73</v>
      </c>
      <c r="G10" s="1">
        <v>-9.44</v>
      </c>
    </row>
    <row r="11" spans="1:7" x14ac:dyDescent="0.25">
      <c r="A11" s="1" t="s">
        <v>15</v>
      </c>
      <c r="B11" s="1">
        <v>328.79</v>
      </c>
      <c r="C11" s="1">
        <v>134.34</v>
      </c>
      <c r="D11" s="1">
        <v>1104.53</v>
      </c>
      <c r="E11" s="1">
        <v>131.58000000000001</v>
      </c>
      <c r="F11" s="1">
        <v>198.87</v>
      </c>
      <c r="G11" s="1">
        <v>58.67</v>
      </c>
    </row>
    <row r="12" spans="1:7" x14ac:dyDescent="0.25">
      <c r="A12" s="1" t="s">
        <v>16</v>
      </c>
      <c r="B12" s="1">
        <v>182.21</v>
      </c>
      <c r="C12" s="1">
        <v>235.58</v>
      </c>
      <c r="D12" s="1">
        <v>204.43</v>
      </c>
      <c r="E12" s="1">
        <v>200.21</v>
      </c>
      <c r="F12" s="1">
        <v>215.78</v>
      </c>
      <c r="G12" s="1">
        <v>175.88</v>
      </c>
    </row>
    <row r="13" spans="1:7" x14ac:dyDescent="0.25">
      <c r="A13" s="1" t="s">
        <v>17</v>
      </c>
      <c r="B13" s="1">
        <v>44.74</v>
      </c>
      <c r="C13" s="1">
        <v>10.82</v>
      </c>
      <c r="D13" s="1">
        <v>48.28</v>
      </c>
      <c r="E13" s="1">
        <v>26.87</v>
      </c>
      <c r="F13" s="1">
        <v>8.9499999999999993</v>
      </c>
      <c r="G13" s="1">
        <v>24.88</v>
      </c>
    </row>
    <row r="14" spans="1:7" x14ac:dyDescent="0.25">
      <c r="A14" s="1" t="s">
        <v>18</v>
      </c>
      <c r="B14" s="1">
        <v>93.93</v>
      </c>
      <c r="C14" s="1">
        <v>45.78</v>
      </c>
      <c r="D14" s="1">
        <v>98.98</v>
      </c>
      <c r="E14" s="1">
        <v>66.7</v>
      </c>
      <c r="F14" s="1">
        <v>36.96</v>
      </c>
      <c r="G14" s="1">
        <v>60.08</v>
      </c>
    </row>
    <row r="15" spans="1:7" x14ac:dyDescent="0.25">
      <c r="A15" s="1" t="s">
        <v>19</v>
      </c>
      <c r="B15" s="1">
        <v>1</v>
      </c>
      <c r="C15" s="1">
        <v>2</v>
      </c>
      <c r="D15" s="1">
        <v>9</v>
      </c>
      <c r="E15" s="1">
        <v>1</v>
      </c>
      <c r="F15" s="1">
        <v>4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454.04</v>
      </c>
      <c r="C17" s="1">
        <v>169.64</v>
      </c>
      <c r="D17" s="1">
        <v>1493.55</v>
      </c>
      <c r="E17" s="1">
        <v>227.17</v>
      </c>
      <c r="F17" s="1">
        <v>364.93</v>
      </c>
      <c r="G17" s="1">
        <v>101.99</v>
      </c>
    </row>
    <row r="18" spans="1:7" x14ac:dyDescent="0.25">
      <c r="A18" s="1" t="s">
        <v>22</v>
      </c>
      <c r="B18" s="1">
        <v>36.69</v>
      </c>
      <c r="C18" s="1">
        <v>48.91</v>
      </c>
      <c r="D18" s="1">
        <v>0</v>
      </c>
      <c r="E18" s="1">
        <v>85.42</v>
      </c>
      <c r="F18" s="1">
        <v>149.77000000000001</v>
      </c>
      <c r="G18" s="1">
        <v>194.46</v>
      </c>
    </row>
    <row r="19" spans="1:7" x14ac:dyDescent="0.25">
      <c r="A19" s="1" t="s">
        <v>23</v>
      </c>
      <c r="B19" s="1">
        <v>1</v>
      </c>
      <c r="C19" s="1">
        <v>3</v>
      </c>
      <c r="D19" s="1">
        <v>0</v>
      </c>
      <c r="E19" s="1">
        <v>2</v>
      </c>
      <c r="F19" s="1">
        <v>4</v>
      </c>
      <c r="G19" s="1">
        <v>3</v>
      </c>
    </row>
    <row r="20" spans="1:7" x14ac:dyDescent="0.25">
      <c r="A20" s="1" t="s">
        <v>24</v>
      </c>
      <c r="B20" s="1">
        <v>0.5</v>
      </c>
      <c r="C20" s="1">
        <v>2.1</v>
      </c>
      <c r="D20" s="1">
        <v>0</v>
      </c>
      <c r="E20" s="1">
        <v>1.8</v>
      </c>
      <c r="F20" s="1">
        <v>3.8</v>
      </c>
      <c r="G20" s="1">
        <v>4.8</v>
      </c>
    </row>
    <row r="21" spans="1:7" x14ac:dyDescent="0.25">
      <c r="A21" s="1" t="s">
        <v>25</v>
      </c>
      <c r="B21" s="1">
        <v>9.6</v>
      </c>
      <c r="C21" s="1">
        <v>7.9</v>
      </c>
      <c r="D21" s="1">
        <v>10</v>
      </c>
      <c r="E21" s="1">
        <v>8.1999999999999993</v>
      </c>
      <c r="F21" s="1">
        <v>6.2</v>
      </c>
      <c r="G21" s="1">
        <v>5.0999999999999996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2</v>
      </c>
    </row>
    <row r="25" spans="1:7" x14ac:dyDescent="0.25">
      <c r="A25" s="1" t="s">
        <v>29</v>
      </c>
      <c r="B25" s="1">
        <v>2.4</v>
      </c>
      <c r="C25" s="1">
        <v>10</v>
      </c>
      <c r="D25" s="1">
        <v>0</v>
      </c>
      <c r="E25" s="1">
        <v>8.1</v>
      </c>
      <c r="F25" s="1">
        <v>6.4</v>
      </c>
      <c r="G25" s="1">
        <v>7.9</v>
      </c>
    </row>
    <row r="26" spans="1:7" x14ac:dyDescent="0.25">
      <c r="A26" s="1" t="s">
        <v>30</v>
      </c>
      <c r="B26" s="1">
        <v>7.7</v>
      </c>
      <c r="C26" s="1">
        <v>0</v>
      </c>
      <c r="D26" s="1">
        <v>10</v>
      </c>
      <c r="E26" s="1">
        <v>1.9</v>
      </c>
      <c r="F26" s="1">
        <v>3.6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20.202020202020201</v>
      </c>
    </row>
    <row r="30" spans="1:7" x14ac:dyDescent="0.25">
      <c r="A30" s="3" t="s">
        <v>33</v>
      </c>
      <c r="B30" s="3">
        <f>B25/B28*100</f>
        <v>23.762376237623762</v>
      </c>
      <c r="C30" s="3">
        <f t="shared" ref="C30:G30" si="2">C25/C28*100</f>
        <v>100</v>
      </c>
      <c r="D30" s="3">
        <f t="shared" si="2"/>
        <v>0</v>
      </c>
      <c r="E30" s="3">
        <f t="shared" si="2"/>
        <v>81</v>
      </c>
      <c r="F30" s="3">
        <f t="shared" si="2"/>
        <v>64</v>
      </c>
      <c r="G30" s="3">
        <f t="shared" si="2"/>
        <v>79.797979797979806</v>
      </c>
    </row>
    <row r="31" spans="1:7" x14ac:dyDescent="0.25">
      <c r="A31" s="3" t="s">
        <v>34</v>
      </c>
      <c r="B31" s="3">
        <f>B26/B28*100</f>
        <v>76.237623762376245</v>
      </c>
      <c r="C31" s="3">
        <f t="shared" ref="C31:G31" si="3">C26/C28*100</f>
        <v>0</v>
      </c>
      <c r="D31" s="3">
        <f t="shared" si="3"/>
        <v>100</v>
      </c>
      <c r="E31" s="3">
        <f t="shared" si="3"/>
        <v>19</v>
      </c>
      <c r="F31" s="3">
        <f t="shared" si="3"/>
        <v>36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50.91</v>
      </c>
      <c r="C33" s="3">
        <v>12.74</v>
      </c>
      <c r="D33" s="3">
        <v>163.96</v>
      </c>
      <c r="E33" s="3">
        <v>18.350000000000001</v>
      </c>
      <c r="F33" s="3">
        <v>19.63</v>
      </c>
      <c r="G33" s="3">
        <v>-1.05</v>
      </c>
    </row>
    <row r="35" spans="1:7" x14ac:dyDescent="0.25">
      <c r="A35" s="3" t="s">
        <v>36</v>
      </c>
      <c r="B35" s="3"/>
      <c r="C35" s="3"/>
      <c r="D35" s="3">
        <f>D33-C33</f>
        <v>151.22</v>
      </c>
      <c r="E35" s="3"/>
      <c r="F35" s="3">
        <f>F33-E33</f>
        <v>1.2799999999999976</v>
      </c>
      <c r="G35" s="3"/>
    </row>
    <row r="37" spans="1:7" x14ac:dyDescent="0.25">
      <c r="A37" s="3" t="s">
        <v>36</v>
      </c>
      <c r="B37" s="3"/>
      <c r="C37" s="3">
        <f>C33-B33</f>
        <v>-38.169999999999995</v>
      </c>
      <c r="D37" s="3"/>
      <c r="E37" s="3">
        <f>E33-D33</f>
        <v>-145.61000000000001</v>
      </c>
      <c r="F37" s="3"/>
      <c r="G37" s="3">
        <f>G33-F33</f>
        <v>-20.68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BD0A-F5A2-4775-B368-B373C987EB30}">
  <dimension ref="A1:G37"/>
  <sheetViews>
    <sheetView topLeftCell="A10" workbookViewId="0">
      <selection activeCell="A40" sqref="A40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372.4</v>
      </c>
      <c r="C2" s="1">
        <v>363.13</v>
      </c>
      <c r="D2" s="1">
        <v>343.25</v>
      </c>
      <c r="E2" s="1">
        <v>378.12</v>
      </c>
      <c r="F2" s="1">
        <v>428.7</v>
      </c>
      <c r="G2" s="1">
        <v>383.61</v>
      </c>
    </row>
    <row r="3" spans="1:7" x14ac:dyDescent="0.25">
      <c r="A3" s="1" t="s">
        <v>7</v>
      </c>
      <c r="B3" s="1">
        <v>39.04</v>
      </c>
      <c r="C3" s="1">
        <v>48.29</v>
      </c>
      <c r="D3" s="1">
        <v>47.23</v>
      </c>
      <c r="E3" s="1">
        <v>46.7</v>
      </c>
      <c r="F3" s="1">
        <v>46.31</v>
      </c>
      <c r="G3" s="1">
        <v>49.13</v>
      </c>
    </row>
    <row r="4" spans="1:7" x14ac:dyDescent="0.25">
      <c r="A4" s="1" t="s">
        <v>8</v>
      </c>
      <c r="B4" s="1">
        <v>14800.18</v>
      </c>
      <c r="C4" s="1">
        <v>17762.86</v>
      </c>
      <c r="D4" s="1">
        <v>16526.23</v>
      </c>
      <c r="E4" s="1">
        <v>17928.240000000002</v>
      </c>
      <c r="F4" s="1">
        <v>20182.75</v>
      </c>
      <c r="G4" s="1">
        <v>19141.46</v>
      </c>
    </row>
    <row r="5" spans="1:7" x14ac:dyDescent="0.25">
      <c r="A5" s="1" t="s">
        <v>9</v>
      </c>
      <c r="B5" s="1">
        <v>473.89</v>
      </c>
      <c r="C5" s="1">
        <v>237.27</v>
      </c>
      <c r="D5" s="1">
        <v>703.63</v>
      </c>
      <c r="E5" s="1">
        <v>783.97</v>
      </c>
      <c r="F5" s="1">
        <v>318.88</v>
      </c>
      <c r="G5" s="1">
        <v>201.17</v>
      </c>
    </row>
    <row r="6" spans="1:7" x14ac:dyDescent="0.25">
      <c r="A6" s="3" t="s">
        <v>10</v>
      </c>
      <c r="B6" s="3">
        <v>47.39</v>
      </c>
      <c r="C6" s="3">
        <v>23.97</v>
      </c>
      <c r="D6" s="3">
        <v>71.069999999999993</v>
      </c>
      <c r="E6" s="3">
        <v>79.19</v>
      </c>
      <c r="F6" s="3">
        <v>32.21</v>
      </c>
      <c r="G6" s="3">
        <v>20.53</v>
      </c>
    </row>
    <row r="7" spans="1:7" x14ac:dyDescent="0.25">
      <c r="A7" s="1" t="s">
        <v>11</v>
      </c>
      <c r="B7" s="1">
        <v>421.44</v>
      </c>
      <c r="C7" s="1">
        <v>186.91</v>
      </c>
      <c r="D7" s="1">
        <v>580.45000000000005</v>
      </c>
      <c r="E7" s="1">
        <v>692.71</v>
      </c>
      <c r="F7" s="1">
        <v>279.12</v>
      </c>
      <c r="G7" s="1">
        <v>167.64</v>
      </c>
    </row>
    <row r="8" spans="1:7" x14ac:dyDescent="0.25">
      <c r="A8" s="1" t="s">
        <v>12</v>
      </c>
      <c r="B8" s="1">
        <v>42.14</v>
      </c>
      <c r="C8" s="1">
        <v>18.88</v>
      </c>
      <c r="D8" s="1">
        <v>58.63</v>
      </c>
      <c r="E8" s="1">
        <v>69.97</v>
      </c>
      <c r="F8" s="1">
        <v>28.19</v>
      </c>
      <c r="G8" s="1">
        <v>17.11</v>
      </c>
    </row>
    <row r="9" spans="1:7" x14ac:dyDescent="0.25">
      <c r="A9" s="1" t="s">
        <v>13</v>
      </c>
      <c r="B9" s="1">
        <v>68.010000000000005</v>
      </c>
      <c r="C9" s="1">
        <v>-36.29</v>
      </c>
      <c r="D9" s="1">
        <v>526.22</v>
      </c>
      <c r="E9" s="1">
        <v>655.97</v>
      </c>
      <c r="F9" s="1">
        <v>182.13</v>
      </c>
      <c r="G9" s="1">
        <v>-36.53</v>
      </c>
    </row>
    <row r="10" spans="1:7" x14ac:dyDescent="0.25">
      <c r="A10" s="1" t="s">
        <v>14</v>
      </c>
      <c r="B10" s="1">
        <v>6.8</v>
      </c>
      <c r="C10" s="1">
        <v>-3.67</v>
      </c>
      <c r="D10" s="1">
        <v>53.15</v>
      </c>
      <c r="E10" s="1">
        <v>66.260000000000005</v>
      </c>
      <c r="F10" s="1">
        <v>18.399999999999999</v>
      </c>
      <c r="G10" s="1">
        <v>-3.73</v>
      </c>
    </row>
    <row r="11" spans="1:7" x14ac:dyDescent="0.25">
      <c r="A11" s="1" t="s">
        <v>15</v>
      </c>
      <c r="B11" s="1">
        <v>54.02</v>
      </c>
      <c r="C11" s="1">
        <v>30.26</v>
      </c>
      <c r="D11" s="1">
        <v>256.61</v>
      </c>
      <c r="E11" s="1">
        <v>460.06</v>
      </c>
      <c r="F11" s="1">
        <v>139.24</v>
      </c>
      <c r="G11" s="1">
        <v>6.46</v>
      </c>
    </row>
    <row r="12" spans="1:7" x14ac:dyDescent="0.25">
      <c r="A12" s="1" t="s">
        <v>16</v>
      </c>
      <c r="B12" s="1">
        <v>157.66999999999999</v>
      </c>
      <c r="C12" s="1">
        <v>167.96</v>
      </c>
      <c r="D12" s="1">
        <v>132.72</v>
      </c>
      <c r="E12" s="1">
        <v>167.14</v>
      </c>
      <c r="F12" s="1">
        <v>216.11</v>
      </c>
      <c r="G12" s="1">
        <v>165.13</v>
      </c>
    </row>
    <row r="13" spans="1:7" x14ac:dyDescent="0.25">
      <c r="A13" s="1" t="s">
        <v>17</v>
      </c>
      <c r="B13" s="1">
        <v>9.01</v>
      </c>
      <c r="C13" s="1">
        <v>9.09</v>
      </c>
      <c r="D13" s="1">
        <v>29.81</v>
      </c>
      <c r="E13" s="1">
        <v>33.299999999999997</v>
      </c>
      <c r="F13" s="1">
        <v>12.51</v>
      </c>
      <c r="G13" s="1">
        <v>16.5</v>
      </c>
    </row>
    <row r="14" spans="1:7" x14ac:dyDescent="0.25">
      <c r="A14" s="1" t="s">
        <v>18</v>
      </c>
      <c r="B14" s="1">
        <v>21.33</v>
      </c>
      <c r="C14" s="1">
        <v>24.46</v>
      </c>
      <c r="D14" s="1">
        <v>70.45</v>
      </c>
      <c r="E14" s="1">
        <v>61.74</v>
      </c>
      <c r="F14" s="1">
        <v>52.01</v>
      </c>
      <c r="G14" s="1">
        <v>35.119999999999997</v>
      </c>
    </row>
    <row r="15" spans="1:7" x14ac:dyDescent="0.25">
      <c r="A15" s="1" t="s">
        <v>19</v>
      </c>
      <c r="B15" s="1">
        <v>4</v>
      </c>
      <c r="C15" s="1">
        <v>3</v>
      </c>
      <c r="D15" s="1">
        <v>3</v>
      </c>
      <c r="E15" s="1">
        <v>7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244.72</v>
      </c>
      <c r="C17" s="1">
        <v>75.31</v>
      </c>
      <c r="D17" s="1">
        <v>553.33000000000004</v>
      </c>
      <c r="E17" s="1">
        <v>674.34</v>
      </c>
      <c r="F17" s="1">
        <v>230.62</v>
      </c>
      <c r="G17" s="1">
        <v>65.56</v>
      </c>
    </row>
    <row r="18" spans="1:7" x14ac:dyDescent="0.25">
      <c r="A18" s="1" t="s">
        <v>22</v>
      </c>
      <c r="B18" s="1">
        <v>176.71</v>
      </c>
      <c r="C18" s="1">
        <v>111.6</v>
      </c>
      <c r="D18" s="1">
        <v>27.12</v>
      </c>
      <c r="E18" s="1">
        <v>18.37</v>
      </c>
      <c r="F18" s="1">
        <v>48.5</v>
      </c>
      <c r="G18" s="1">
        <v>102.08</v>
      </c>
    </row>
    <row r="19" spans="1:7" x14ac:dyDescent="0.25">
      <c r="A19" s="1" t="s">
        <v>23</v>
      </c>
      <c r="B19" s="1">
        <v>4</v>
      </c>
      <c r="C19" s="1">
        <v>4</v>
      </c>
      <c r="D19" s="1">
        <v>1</v>
      </c>
      <c r="E19" s="1">
        <v>0</v>
      </c>
      <c r="F19" s="1">
        <v>3</v>
      </c>
      <c r="G19" s="1">
        <v>6</v>
      </c>
    </row>
    <row r="20" spans="1:7" x14ac:dyDescent="0.25">
      <c r="A20" s="1" t="s">
        <v>24</v>
      </c>
      <c r="B20" s="1">
        <v>3.6</v>
      </c>
      <c r="C20" s="1">
        <v>5.2</v>
      </c>
      <c r="D20" s="1">
        <v>1</v>
      </c>
      <c r="E20" s="1">
        <v>0</v>
      </c>
      <c r="F20" s="1">
        <v>2</v>
      </c>
      <c r="G20" s="1">
        <v>5.4</v>
      </c>
    </row>
    <row r="21" spans="1:7" x14ac:dyDescent="0.25">
      <c r="A21" s="1" t="s">
        <v>25</v>
      </c>
      <c r="B21" s="1">
        <v>6.5</v>
      </c>
      <c r="C21" s="1">
        <v>4.8</v>
      </c>
      <c r="D21" s="1">
        <v>9</v>
      </c>
      <c r="E21" s="1">
        <v>10</v>
      </c>
      <c r="F21" s="1">
        <v>8</v>
      </c>
      <c r="G21" s="1">
        <v>4.5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10.1</v>
      </c>
      <c r="C25" s="1">
        <v>10</v>
      </c>
      <c r="D25" s="1">
        <v>5.0999999999999996</v>
      </c>
      <c r="E25" s="1">
        <v>1.1000000000000001</v>
      </c>
      <c r="F25" s="1">
        <v>6.4</v>
      </c>
      <c r="G25" s="1">
        <v>9.9</v>
      </c>
    </row>
    <row r="26" spans="1:7" x14ac:dyDescent="0.25">
      <c r="A26" s="1" t="s">
        <v>30</v>
      </c>
      <c r="B26" s="1">
        <v>0</v>
      </c>
      <c r="C26" s="1">
        <v>0</v>
      </c>
      <c r="D26" s="1">
        <v>4.9000000000000004</v>
      </c>
      <c r="E26" s="1">
        <v>8.9</v>
      </c>
      <c r="F26" s="1">
        <v>3.6</v>
      </c>
      <c r="G26" s="1">
        <v>0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51</v>
      </c>
      <c r="E30" s="3">
        <f t="shared" si="2"/>
        <v>11.000000000000002</v>
      </c>
      <c r="F30" s="3">
        <f t="shared" si="2"/>
        <v>64</v>
      </c>
      <c r="G30" s="3">
        <f t="shared" si="2"/>
        <v>100</v>
      </c>
    </row>
    <row r="31" spans="1:7" x14ac:dyDescent="0.25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49.000000000000007</v>
      </c>
      <c r="E31" s="3">
        <f t="shared" si="3"/>
        <v>89</v>
      </c>
      <c r="F31" s="3">
        <f t="shared" si="3"/>
        <v>36</v>
      </c>
      <c r="G31" s="3">
        <f t="shared" si="3"/>
        <v>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5.09</v>
      </c>
      <c r="C33" s="3">
        <v>-3</v>
      </c>
      <c r="D33" s="3">
        <v>57.59</v>
      </c>
      <c r="E33" s="3">
        <v>75</v>
      </c>
      <c r="F33" s="3">
        <v>19.63</v>
      </c>
      <c r="G33" s="3">
        <v>-0.05</v>
      </c>
    </row>
    <row r="35" spans="1:7" x14ac:dyDescent="0.25">
      <c r="A35" s="3" t="s">
        <v>36</v>
      </c>
      <c r="B35" s="3"/>
      <c r="C35" s="3"/>
      <c r="D35" s="3">
        <f>D33-C33</f>
        <v>60.59</v>
      </c>
      <c r="E35" s="3"/>
      <c r="F35" s="3">
        <f>F33-E33</f>
        <v>-55.370000000000005</v>
      </c>
      <c r="G35" s="3"/>
    </row>
    <row r="37" spans="1:7" x14ac:dyDescent="0.25">
      <c r="A37" s="3" t="s">
        <v>36</v>
      </c>
      <c r="B37" s="3"/>
      <c r="C37" s="3">
        <f>C33-B33</f>
        <v>-8.09</v>
      </c>
      <c r="D37" s="3"/>
      <c r="E37" s="3">
        <f>E33-D33</f>
        <v>17.409999999999997</v>
      </c>
      <c r="F37" s="3"/>
      <c r="G37" s="3">
        <f>G33-F33</f>
        <v>-19.68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1B8B-D145-41A3-977F-25C98620A5B1}">
  <dimension ref="A1:G37"/>
  <sheetViews>
    <sheetView topLeftCell="A7" workbookViewId="0">
      <selection activeCell="I29" sqref="I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374.36</v>
      </c>
      <c r="C2" s="1">
        <v>381.9</v>
      </c>
      <c r="D2" s="1">
        <v>486.54</v>
      </c>
      <c r="E2" s="1">
        <v>471.71</v>
      </c>
      <c r="F2" s="1">
        <v>433.7</v>
      </c>
      <c r="G2" s="1">
        <v>443.46</v>
      </c>
    </row>
    <row r="3" spans="1:7" x14ac:dyDescent="0.25">
      <c r="A3" s="1" t="s">
        <v>7</v>
      </c>
      <c r="B3" s="1">
        <v>37.840000000000003</v>
      </c>
      <c r="C3" s="1">
        <v>45.57</v>
      </c>
      <c r="D3" s="1">
        <v>38.96</v>
      </c>
      <c r="E3" s="1">
        <v>37.35</v>
      </c>
      <c r="F3" s="1">
        <v>33.18</v>
      </c>
      <c r="G3" s="1">
        <v>32.130000000000003</v>
      </c>
    </row>
    <row r="4" spans="1:7" x14ac:dyDescent="0.25">
      <c r="A4" s="1" t="s">
        <v>8</v>
      </c>
      <c r="B4" s="1">
        <v>14398.42</v>
      </c>
      <c r="C4" s="1">
        <v>17728.59</v>
      </c>
      <c r="D4" s="1">
        <v>19209.689999999999</v>
      </c>
      <c r="E4" s="1">
        <v>17993.46</v>
      </c>
      <c r="F4" s="1">
        <v>14608.02</v>
      </c>
      <c r="G4" s="1">
        <v>14576.15</v>
      </c>
    </row>
    <row r="5" spans="1:7" x14ac:dyDescent="0.25">
      <c r="A5" s="1" t="s">
        <v>9</v>
      </c>
      <c r="B5" s="1">
        <v>480.33</v>
      </c>
      <c r="C5" s="1">
        <v>480.51</v>
      </c>
      <c r="D5" s="1">
        <v>1766.35</v>
      </c>
      <c r="E5" s="1">
        <v>1523.87</v>
      </c>
      <c r="F5" s="1">
        <v>932.94</v>
      </c>
      <c r="G5" s="1">
        <v>727.69</v>
      </c>
    </row>
    <row r="6" spans="1:7" x14ac:dyDescent="0.25">
      <c r="A6" s="3" t="s">
        <v>10</v>
      </c>
      <c r="B6" s="3">
        <v>48.03</v>
      </c>
      <c r="C6" s="3">
        <v>48.54</v>
      </c>
      <c r="D6" s="3">
        <v>178.42</v>
      </c>
      <c r="E6" s="3">
        <v>153.93</v>
      </c>
      <c r="F6" s="3">
        <v>94.24</v>
      </c>
      <c r="G6" s="3">
        <v>74.25</v>
      </c>
    </row>
    <row r="7" spans="1:7" x14ac:dyDescent="0.25">
      <c r="A7" s="1" t="s">
        <v>11</v>
      </c>
      <c r="B7" s="1">
        <v>436.96</v>
      </c>
      <c r="C7" s="1">
        <v>380.87</v>
      </c>
      <c r="D7" s="1">
        <v>1624.2</v>
      </c>
      <c r="E7" s="1">
        <v>1323.57</v>
      </c>
      <c r="F7" s="1">
        <v>828.9</v>
      </c>
      <c r="G7" s="1">
        <v>663.21</v>
      </c>
    </row>
    <row r="8" spans="1:7" x14ac:dyDescent="0.25">
      <c r="A8" s="1" t="s">
        <v>12</v>
      </c>
      <c r="B8" s="1">
        <v>43.7</v>
      </c>
      <c r="C8" s="1">
        <v>38.47</v>
      </c>
      <c r="D8" s="1">
        <v>164.06</v>
      </c>
      <c r="E8" s="1">
        <v>133.69</v>
      </c>
      <c r="F8" s="1">
        <v>83.73</v>
      </c>
      <c r="G8" s="1">
        <v>67.67</v>
      </c>
    </row>
    <row r="9" spans="1:7" x14ac:dyDescent="0.25">
      <c r="A9" s="1" t="s">
        <v>13</v>
      </c>
      <c r="B9" s="1">
        <v>185.5</v>
      </c>
      <c r="C9" s="1">
        <v>285</v>
      </c>
      <c r="D9" s="1">
        <v>1605.95</v>
      </c>
      <c r="E9" s="1">
        <v>1262.29</v>
      </c>
      <c r="F9" s="1">
        <v>201.66</v>
      </c>
      <c r="G9" s="1">
        <v>361.5</v>
      </c>
    </row>
    <row r="10" spans="1:7" x14ac:dyDescent="0.25">
      <c r="A10" s="1" t="s">
        <v>14</v>
      </c>
      <c r="B10" s="1">
        <v>18.55</v>
      </c>
      <c r="C10" s="1">
        <v>28.79</v>
      </c>
      <c r="D10" s="1">
        <v>162.22</v>
      </c>
      <c r="E10" s="1">
        <v>127.5</v>
      </c>
      <c r="F10" s="1">
        <v>20.37</v>
      </c>
      <c r="G10" s="1">
        <v>36.89</v>
      </c>
    </row>
    <row r="11" spans="1:7" x14ac:dyDescent="0.25">
      <c r="A11" s="1" t="s">
        <v>15</v>
      </c>
      <c r="B11" s="1">
        <v>141.5</v>
      </c>
      <c r="C11" s="1">
        <v>59.42</v>
      </c>
      <c r="D11" s="1">
        <v>1046.4000000000001</v>
      </c>
      <c r="E11" s="1">
        <v>905.44</v>
      </c>
      <c r="F11" s="1">
        <v>201.41</v>
      </c>
      <c r="G11" s="1">
        <v>269.82</v>
      </c>
    </row>
    <row r="12" spans="1:7" x14ac:dyDescent="0.25">
      <c r="A12" s="1" t="s">
        <v>16</v>
      </c>
      <c r="B12" s="1">
        <v>180.91</v>
      </c>
      <c r="C12" s="1">
        <v>171.28</v>
      </c>
      <c r="D12" s="1">
        <v>206.96</v>
      </c>
      <c r="E12" s="1">
        <v>207.14</v>
      </c>
      <c r="F12" s="1">
        <v>220.02</v>
      </c>
      <c r="G12" s="1">
        <v>244.76</v>
      </c>
    </row>
    <row r="13" spans="1:7" x14ac:dyDescent="0.25">
      <c r="A13" s="1" t="s">
        <v>17</v>
      </c>
      <c r="B13" s="1">
        <v>24.39</v>
      </c>
      <c r="C13" s="1">
        <v>29.48</v>
      </c>
      <c r="D13" s="1">
        <v>38.15</v>
      </c>
      <c r="E13" s="1">
        <v>34.340000000000003</v>
      </c>
      <c r="F13" s="1">
        <v>22.55</v>
      </c>
      <c r="G13" s="1">
        <v>15.04</v>
      </c>
    </row>
    <row r="14" spans="1:7" x14ac:dyDescent="0.25">
      <c r="A14" s="1" t="s">
        <v>18</v>
      </c>
      <c r="B14" s="1">
        <v>52.24</v>
      </c>
      <c r="C14" s="1">
        <v>72.98</v>
      </c>
      <c r="D14" s="1">
        <v>88.28</v>
      </c>
      <c r="E14" s="1">
        <v>71.900000000000006</v>
      </c>
      <c r="F14" s="1">
        <v>64.91</v>
      </c>
      <c r="G14" s="1">
        <v>47.84</v>
      </c>
    </row>
    <row r="15" spans="1:7" x14ac:dyDescent="0.25">
      <c r="A15" s="1" t="s">
        <v>19</v>
      </c>
      <c r="B15" s="1">
        <v>4</v>
      </c>
      <c r="C15" s="1">
        <v>4</v>
      </c>
      <c r="D15" s="1">
        <v>8</v>
      </c>
      <c r="E15" s="1">
        <v>8</v>
      </c>
      <c r="F15" s="1">
        <v>5</v>
      </c>
      <c r="G15" s="1">
        <v>3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311.23</v>
      </c>
      <c r="C17" s="1">
        <v>332.93</v>
      </c>
      <c r="D17" s="1">
        <v>1615.07</v>
      </c>
      <c r="E17" s="1">
        <v>1292.93</v>
      </c>
      <c r="F17" s="1">
        <v>515.28</v>
      </c>
      <c r="G17" s="1">
        <v>512.35</v>
      </c>
    </row>
    <row r="18" spans="1:7" x14ac:dyDescent="0.25">
      <c r="A18" s="1" t="s">
        <v>22</v>
      </c>
      <c r="B18" s="1">
        <v>125.73</v>
      </c>
      <c r="C18" s="1">
        <v>47.94</v>
      </c>
      <c r="D18" s="1">
        <v>9.1199999999999992</v>
      </c>
      <c r="E18" s="1">
        <v>30.64</v>
      </c>
      <c r="F18" s="1">
        <v>313.62</v>
      </c>
      <c r="G18" s="1">
        <v>150.85</v>
      </c>
    </row>
    <row r="19" spans="1:7" x14ac:dyDescent="0.25">
      <c r="A19" s="1" t="s">
        <v>23</v>
      </c>
      <c r="B19" s="1">
        <v>4</v>
      </c>
      <c r="C19" s="1">
        <v>2</v>
      </c>
      <c r="D19" s="1">
        <v>0</v>
      </c>
      <c r="E19" s="1">
        <v>1</v>
      </c>
      <c r="F19" s="1">
        <v>3</v>
      </c>
      <c r="G19" s="1">
        <v>3</v>
      </c>
    </row>
    <row r="20" spans="1:7" x14ac:dyDescent="0.25">
      <c r="A20" s="1" t="s">
        <v>24</v>
      </c>
      <c r="B20" s="1">
        <v>2.6</v>
      </c>
      <c r="C20" s="1">
        <v>2.6</v>
      </c>
      <c r="D20" s="1">
        <v>0</v>
      </c>
      <c r="E20" s="1">
        <v>0.6</v>
      </c>
      <c r="F20" s="1">
        <v>3.5</v>
      </c>
      <c r="G20" s="1">
        <v>2</v>
      </c>
    </row>
    <row r="21" spans="1:7" x14ac:dyDescent="0.25">
      <c r="A21" s="1" t="s">
        <v>25</v>
      </c>
      <c r="B21" s="1">
        <v>7.5</v>
      </c>
      <c r="C21" s="1">
        <v>7.4</v>
      </c>
      <c r="D21" s="1">
        <v>10</v>
      </c>
      <c r="E21" s="1">
        <v>9.4</v>
      </c>
      <c r="F21" s="1">
        <v>6.5</v>
      </c>
      <c r="G21" s="1">
        <v>7.9</v>
      </c>
    </row>
    <row r="22" spans="1:7" x14ac:dyDescent="0.25">
      <c r="A22" s="1" t="s">
        <v>26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1.9</v>
      </c>
      <c r="G24" s="1">
        <v>0</v>
      </c>
    </row>
    <row r="25" spans="1:7" x14ac:dyDescent="0.25">
      <c r="A25" s="1" t="s">
        <v>29</v>
      </c>
      <c r="B25" s="1">
        <v>8.8000000000000007</v>
      </c>
      <c r="C25" s="1">
        <v>3.3</v>
      </c>
      <c r="D25" s="1">
        <v>0</v>
      </c>
      <c r="E25" s="1">
        <v>1.6</v>
      </c>
      <c r="F25" s="1">
        <v>4.7</v>
      </c>
      <c r="G25" s="1">
        <v>4.8</v>
      </c>
    </row>
    <row r="26" spans="1:7" x14ac:dyDescent="0.25">
      <c r="A26" s="1" t="s">
        <v>30</v>
      </c>
      <c r="B26" s="1">
        <v>1.3</v>
      </c>
      <c r="C26" s="1">
        <v>6.7</v>
      </c>
      <c r="D26" s="1">
        <v>10</v>
      </c>
      <c r="E26" s="1">
        <v>8.4</v>
      </c>
      <c r="F26" s="1">
        <v>3.4</v>
      </c>
      <c r="G26" s="1">
        <v>5.0999999999999996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10.100000000000001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9.8999999999999986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19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87.128712871287135</v>
      </c>
      <c r="C30" s="3">
        <f t="shared" ref="C30:G30" si="2">C25/C28*100</f>
        <v>32.999999999999993</v>
      </c>
      <c r="D30" s="3">
        <f t="shared" si="2"/>
        <v>0</v>
      </c>
      <c r="E30" s="3">
        <f t="shared" si="2"/>
        <v>16</v>
      </c>
      <c r="F30" s="3">
        <f t="shared" si="2"/>
        <v>47</v>
      </c>
      <c r="G30" s="3">
        <f t="shared" si="2"/>
        <v>48.484848484848492</v>
      </c>
    </row>
    <row r="31" spans="1:7" x14ac:dyDescent="0.25">
      <c r="A31" s="3" t="s">
        <v>34</v>
      </c>
      <c r="B31" s="3">
        <f>B26/B28*100</f>
        <v>12.871287128712869</v>
      </c>
      <c r="C31" s="3">
        <f t="shared" ref="C31:G31" si="3">C26/C28*100</f>
        <v>67</v>
      </c>
      <c r="D31" s="3">
        <f t="shared" si="3"/>
        <v>100</v>
      </c>
      <c r="E31" s="3">
        <f t="shared" si="3"/>
        <v>84.000000000000014</v>
      </c>
      <c r="F31" s="3">
        <f t="shared" si="3"/>
        <v>34</v>
      </c>
      <c r="G31" s="3">
        <f t="shared" si="3"/>
        <v>51.515151515151516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19.47</v>
      </c>
      <c r="C33" s="3">
        <v>26.96</v>
      </c>
      <c r="D33" s="3">
        <v>165.5</v>
      </c>
      <c r="E33" s="3">
        <v>136.58000000000001</v>
      </c>
      <c r="F33" s="3">
        <v>26.93</v>
      </c>
      <c r="G33" s="3">
        <v>31.41</v>
      </c>
    </row>
    <row r="35" spans="1:7" x14ac:dyDescent="0.25">
      <c r="A35" s="3" t="s">
        <v>36</v>
      </c>
      <c r="B35" s="3"/>
      <c r="C35" s="3"/>
      <c r="D35" s="3">
        <f>D33-C33</f>
        <v>138.54</v>
      </c>
      <c r="E35" s="3"/>
      <c r="F35" s="3">
        <f>F33-E33</f>
        <v>-109.65</v>
      </c>
      <c r="G35" s="3"/>
    </row>
    <row r="37" spans="1:7" x14ac:dyDescent="0.25">
      <c r="A37" s="3" t="s">
        <v>36</v>
      </c>
      <c r="B37" s="3"/>
      <c r="C37" s="3">
        <f>C33-B33</f>
        <v>7.490000000000002</v>
      </c>
      <c r="D37" s="3"/>
      <c r="E37" s="3">
        <f>E33-D33</f>
        <v>-28.919999999999987</v>
      </c>
      <c r="F37" s="3"/>
      <c r="G37" s="3">
        <f>G33-F33</f>
        <v>4.4800000000000004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332AE-6C8F-4421-8810-95E5D7813337}">
  <dimension ref="A1:J37"/>
  <sheetViews>
    <sheetView topLeftCell="A10" workbookViewId="0">
      <selection activeCell="J24" sqref="J24:J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506.19</v>
      </c>
      <c r="C2" s="1">
        <v>495.89</v>
      </c>
      <c r="D2" s="1">
        <v>481.05</v>
      </c>
      <c r="E2" s="1">
        <v>465.02</v>
      </c>
      <c r="F2" s="1">
        <v>496.6</v>
      </c>
      <c r="G2" s="1">
        <v>480.83</v>
      </c>
    </row>
    <row r="3" spans="1:7" x14ac:dyDescent="0.25">
      <c r="A3" s="1" t="s">
        <v>7</v>
      </c>
      <c r="B3" s="1">
        <v>36.22</v>
      </c>
      <c r="C3" s="1">
        <v>37.32</v>
      </c>
      <c r="D3" s="1">
        <v>36.69</v>
      </c>
      <c r="E3" s="1">
        <v>36.86</v>
      </c>
      <c r="F3" s="1">
        <v>36.46</v>
      </c>
      <c r="G3" s="1">
        <v>38.39</v>
      </c>
    </row>
    <row r="4" spans="1:7" x14ac:dyDescent="0.25">
      <c r="A4" s="1" t="s">
        <v>8</v>
      </c>
      <c r="B4" s="1">
        <v>18627.46</v>
      </c>
      <c r="C4" s="1">
        <v>18787.27</v>
      </c>
      <c r="D4" s="1">
        <v>17959.919999999998</v>
      </c>
      <c r="E4" s="1">
        <v>17490.03</v>
      </c>
      <c r="F4" s="1">
        <v>18472.16</v>
      </c>
      <c r="G4" s="1">
        <v>18776.3</v>
      </c>
    </row>
    <row r="5" spans="1:7" x14ac:dyDescent="0.25">
      <c r="A5" s="1" t="s">
        <v>9</v>
      </c>
      <c r="B5" s="1">
        <v>239.16</v>
      </c>
      <c r="C5" s="1">
        <v>571.63</v>
      </c>
      <c r="D5" s="1">
        <v>1445.14</v>
      </c>
      <c r="E5" s="1">
        <v>900.52</v>
      </c>
      <c r="F5" s="1">
        <v>389.56</v>
      </c>
      <c r="G5" s="1">
        <v>321.57</v>
      </c>
    </row>
    <row r="6" spans="1:7" x14ac:dyDescent="0.25">
      <c r="A6" s="3" t="s">
        <v>10</v>
      </c>
      <c r="B6" s="3">
        <v>23.92</v>
      </c>
      <c r="C6" s="3">
        <v>57.74</v>
      </c>
      <c r="D6" s="3">
        <v>145.97</v>
      </c>
      <c r="E6" s="3">
        <v>90.96</v>
      </c>
      <c r="F6" s="3">
        <v>39.35</v>
      </c>
      <c r="G6" s="3">
        <v>32.81</v>
      </c>
    </row>
    <row r="7" spans="1:7" x14ac:dyDescent="0.25">
      <c r="A7" s="1" t="s">
        <v>11</v>
      </c>
      <c r="B7" s="1">
        <v>228.58</v>
      </c>
      <c r="C7" s="1">
        <v>475.5</v>
      </c>
      <c r="D7" s="1">
        <v>1262.3399999999999</v>
      </c>
      <c r="E7" s="1">
        <v>806.07</v>
      </c>
      <c r="F7" s="1">
        <v>342.19</v>
      </c>
      <c r="G7" s="1">
        <v>306.43</v>
      </c>
    </row>
    <row r="8" spans="1:7" x14ac:dyDescent="0.25">
      <c r="A8" s="1" t="s">
        <v>12</v>
      </c>
      <c r="B8" s="1">
        <v>22.86</v>
      </c>
      <c r="C8" s="1">
        <v>48.03</v>
      </c>
      <c r="D8" s="1">
        <v>127.51</v>
      </c>
      <c r="E8" s="1">
        <v>81.42</v>
      </c>
      <c r="F8" s="1">
        <v>34.56</v>
      </c>
      <c r="G8" s="1">
        <v>31.27</v>
      </c>
    </row>
    <row r="9" spans="1:7" x14ac:dyDescent="0.25">
      <c r="A9" s="1" t="s">
        <v>13</v>
      </c>
      <c r="B9" s="1">
        <v>-91.13</v>
      </c>
      <c r="C9" s="1">
        <v>-166.77</v>
      </c>
      <c r="D9" s="1">
        <v>1250.5</v>
      </c>
      <c r="E9" s="1">
        <v>775.78</v>
      </c>
      <c r="F9" s="1">
        <v>136.18</v>
      </c>
      <c r="G9" s="1">
        <v>-90.23</v>
      </c>
    </row>
    <row r="10" spans="1:7" x14ac:dyDescent="0.25">
      <c r="A10" s="1" t="s">
        <v>14</v>
      </c>
      <c r="B10" s="1">
        <v>-9.11</v>
      </c>
      <c r="C10" s="1">
        <v>-16.850000000000001</v>
      </c>
      <c r="D10" s="1">
        <v>126.31</v>
      </c>
      <c r="E10" s="1">
        <v>78.36</v>
      </c>
      <c r="F10" s="1">
        <v>13.76</v>
      </c>
      <c r="G10" s="1">
        <v>-9.2100000000000009</v>
      </c>
    </row>
    <row r="11" spans="1:7" x14ac:dyDescent="0.25">
      <c r="A11" s="1" t="s">
        <v>15</v>
      </c>
      <c r="B11" s="1">
        <v>63.45</v>
      </c>
      <c r="C11" s="1">
        <v>20.14</v>
      </c>
      <c r="D11" s="1">
        <v>1025.9000000000001</v>
      </c>
      <c r="E11" s="1">
        <v>428.65</v>
      </c>
      <c r="F11" s="1">
        <v>150.32</v>
      </c>
      <c r="G11" s="1">
        <v>17.72</v>
      </c>
    </row>
    <row r="12" spans="1:7" x14ac:dyDescent="0.25">
      <c r="A12" s="1" t="s">
        <v>16</v>
      </c>
      <c r="B12" s="1">
        <v>255.4</v>
      </c>
      <c r="C12" s="1">
        <v>208.49</v>
      </c>
      <c r="D12" s="1">
        <v>214.35</v>
      </c>
      <c r="E12" s="1">
        <v>184.99</v>
      </c>
      <c r="F12" s="1">
        <v>224.7</v>
      </c>
      <c r="G12" s="1">
        <v>228.99</v>
      </c>
    </row>
    <row r="13" spans="1:7" x14ac:dyDescent="0.25">
      <c r="A13" s="1" t="s">
        <v>17</v>
      </c>
      <c r="B13" s="1">
        <v>14.08</v>
      </c>
      <c r="C13" s="1">
        <v>29.13</v>
      </c>
      <c r="D13" s="1">
        <v>36.54</v>
      </c>
      <c r="E13" s="1">
        <v>40.270000000000003</v>
      </c>
      <c r="F13" s="1">
        <v>28.23</v>
      </c>
      <c r="G13" s="1">
        <v>19.03</v>
      </c>
    </row>
    <row r="14" spans="1:7" x14ac:dyDescent="0.25">
      <c r="A14" s="1" t="s">
        <v>18</v>
      </c>
      <c r="B14" s="1">
        <v>29.38</v>
      </c>
      <c r="C14" s="1">
        <v>78.739999999999995</v>
      </c>
      <c r="D14" s="1">
        <v>84.88</v>
      </c>
      <c r="E14" s="1">
        <v>87.39</v>
      </c>
      <c r="F14" s="1">
        <v>81.239999999999995</v>
      </c>
      <c r="G14" s="1">
        <v>56.12</v>
      </c>
    </row>
    <row r="15" spans="1:7" x14ac:dyDescent="0.25">
      <c r="A15" s="1" t="s">
        <v>19</v>
      </c>
      <c r="B15" s="1">
        <v>2</v>
      </c>
      <c r="C15" s="1">
        <v>4</v>
      </c>
      <c r="D15" s="1">
        <v>7</v>
      </c>
      <c r="E15" s="1">
        <v>3</v>
      </c>
      <c r="F15" s="1">
        <v>1</v>
      </c>
      <c r="G15" s="1">
        <v>4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10" x14ac:dyDescent="0.25">
      <c r="A17" s="1" t="s">
        <v>21</v>
      </c>
      <c r="B17" s="1">
        <v>68.72</v>
      </c>
      <c r="C17" s="1">
        <v>154.36000000000001</v>
      </c>
      <c r="D17" s="1">
        <v>1256.42</v>
      </c>
      <c r="E17" s="1">
        <v>790.92</v>
      </c>
      <c r="F17" s="1">
        <v>239.19</v>
      </c>
      <c r="G17" s="1">
        <v>108.1</v>
      </c>
    </row>
    <row r="18" spans="1:10" x14ac:dyDescent="0.25">
      <c r="A18" s="1" t="s">
        <v>22</v>
      </c>
      <c r="B18" s="1">
        <v>159.85</v>
      </c>
      <c r="C18" s="1">
        <v>321.13</v>
      </c>
      <c r="D18" s="1">
        <v>5.92</v>
      </c>
      <c r="E18" s="1">
        <v>15.14</v>
      </c>
      <c r="F18" s="1">
        <v>103</v>
      </c>
      <c r="G18" s="1">
        <v>198.33</v>
      </c>
    </row>
    <row r="19" spans="1:10" x14ac:dyDescent="0.25">
      <c r="A19" s="1" t="s">
        <v>23</v>
      </c>
      <c r="B19" s="1">
        <v>3</v>
      </c>
      <c r="C19" s="1">
        <v>3</v>
      </c>
      <c r="D19" s="1">
        <v>1</v>
      </c>
      <c r="E19" s="1">
        <v>1</v>
      </c>
      <c r="F19" s="1">
        <v>2</v>
      </c>
      <c r="G19" s="1">
        <v>5</v>
      </c>
    </row>
    <row r="20" spans="1:10" x14ac:dyDescent="0.25">
      <c r="A20" s="1" t="s">
        <v>24</v>
      </c>
      <c r="B20" s="1">
        <v>5.8</v>
      </c>
      <c r="C20" s="1">
        <v>4.3</v>
      </c>
      <c r="D20" s="1">
        <v>0.5</v>
      </c>
      <c r="E20" s="1">
        <v>0.9</v>
      </c>
      <c r="F20" s="1">
        <v>2.6</v>
      </c>
      <c r="G20" s="1">
        <v>4.3</v>
      </c>
    </row>
    <row r="21" spans="1:10" x14ac:dyDescent="0.25">
      <c r="A21" s="1" t="s">
        <v>25</v>
      </c>
      <c r="B21" s="1">
        <v>4.3</v>
      </c>
      <c r="C21" s="1">
        <v>5.7</v>
      </c>
      <c r="D21" s="1">
        <v>9.5</v>
      </c>
      <c r="E21" s="1">
        <v>9.1</v>
      </c>
      <c r="F21" s="1">
        <v>7.4</v>
      </c>
      <c r="G21" s="1">
        <v>5.6</v>
      </c>
    </row>
    <row r="22" spans="1:10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10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10" x14ac:dyDescent="0.25">
      <c r="A24" s="1" t="s">
        <v>28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J24">
        <v>8.4499999999999993</v>
      </c>
    </row>
    <row r="25" spans="1:10" x14ac:dyDescent="0.25">
      <c r="A25" s="1" t="s">
        <v>29</v>
      </c>
      <c r="B25" s="1">
        <v>10.1</v>
      </c>
      <c r="C25" s="1">
        <v>8.4</v>
      </c>
      <c r="D25" s="1">
        <v>3.8</v>
      </c>
      <c r="E25" s="1">
        <v>0</v>
      </c>
      <c r="F25" s="1">
        <v>8.1999999999999993</v>
      </c>
      <c r="G25" s="1">
        <v>8.4</v>
      </c>
      <c r="J25">
        <v>-4.7300000000000004</v>
      </c>
    </row>
    <row r="26" spans="1:10" x14ac:dyDescent="0.25">
      <c r="A26" s="1" t="s">
        <v>30</v>
      </c>
      <c r="B26" s="1">
        <v>0</v>
      </c>
      <c r="C26" s="1">
        <v>1.6</v>
      </c>
      <c r="D26" s="1">
        <v>6.2</v>
      </c>
      <c r="E26" s="1">
        <v>9</v>
      </c>
      <c r="F26" s="1">
        <v>1.8</v>
      </c>
      <c r="G26" s="1">
        <v>1.5</v>
      </c>
      <c r="J26">
        <v>3.94</v>
      </c>
    </row>
    <row r="27" spans="1:10" x14ac:dyDescent="0.25">
      <c r="A27" s="1"/>
      <c r="B27" s="1"/>
      <c r="C27" s="1"/>
      <c r="D27" s="1"/>
      <c r="E27" s="1"/>
      <c r="F27" s="1"/>
      <c r="G27" s="1"/>
      <c r="J27">
        <v>4.71</v>
      </c>
    </row>
    <row r="28" spans="1:10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  <c r="J28">
        <v>23.59</v>
      </c>
    </row>
    <row r="29" spans="1:10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10</v>
      </c>
      <c r="F29" s="3">
        <f t="shared" si="1"/>
        <v>0</v>
      </c>
      <c r="G29" s="3">
        <f t="shared" si="1"/>
        <v>0</v>
      </c>
      <c r="J29">
        <v>24.63</v>
      </c>
    </row>
    <row r="30" spans="1:10" x14ac:dyDescent="0.25">
      <c r="A30" s="3" t="s">
        <v>33</v>
      </c>
      <c r="B30" s="3">
        <f>B25/B28*100</f>
        <v>100</v>
      </c>
      <c r="C30" s="3">
        <f t="shared" ref="C30:G30" si="2">C25/C28*100</f>
        <v>84.000000000000014</v>
      </c>
      <c r="D30" s="3">
        <f t="shared" si="2"/>
        <v>38</v>
      </c>
      <c r="E30" s="3">
        <f t="shared" si="2"/>
        <v>0</v>
      </c>
      <c r="F30" s="3">
        <f t="shared" si="2"/>
        <v>82</v>
      </c>
      <c r="G30" s="3">
        <f t="shared" si="2"/>
        <v>84.848484848484844</v>
      </c>
    </row>
    <row r="31" spans="1:10" x14ac:dyDescent="0.25">
      <c r="A31" s="3" t="s">
        <v>34</v>
      </c>
      <c r="B31" s="3">
        <f>B26/B28*100</f>
        <v>0</v>
      </c>
      <c r="C31" s="3">
        <f t="shared" ref="C31:G31" si="3">C26/C28*100</f>
        <v>16</v>
      </c>
      <c r="D31" s="3">
        <f t="shared" si="3"/>
        <v>62</v>
      </c>
      <c r="E31" s="3">
        <f t="shared" si="3"/>
        <v>90</v>
      </c>
      <c r="F31" s="3">
        <f t="shared" si="3"/>
        <v>18</v>
      </c>
      <c r="G31" s="3">
        <f t="shared" si="3"/>
        <v>15.151515151515152</v>
      </c>
    </row>
    <row r="32" spans="1:10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-5.69</v>
      </c>
      <c r="C33" s="3">
        <v>9.5299999999999994</v>
      </c>
      <c r="D33" s="3">
        <v>135.79</v>
      </c>
      <c r="E33" s="3">
        <v>75.95</v>
      </c>
      <c r="F33" s="3">
        <v>17.05</v>
      </c>
      <c r="G33" s="3">
        <v>-0.61</v>
      </c>
    </row>
    <row r="35" spans="1:7" x14ac:dyDescent="0.25">
      <c r="A35" s="3" t="s">
        <v>36</v>
      </c>
      <c r="B35" s="3"/>
      <c r="C35" s="3"/>
      <c r="D35" s="3">
        <f>D33-C33</f>
        <v>126.25999999999999</v>
      </c>
      <c r="E35" s="3"/>
      <c r="F35" s="3">
        <f>F33-E33</f>
        <v>-58.900000000000006</v>
      </c>
      <c r="G35" s="3"/>
    </row>
    <row r="37" spans="1:7" x14ac:dyDescent="0.25">
      <c r="A37" s="3" t="s">
        <v>36</v>
      </c>
      <c r="B37" s="3"/>
      <c r="C37" s="3">
        <f>C33-B33</f>
        <v>15.219999999999999</v>
      </c>
      <c r="D37" s="3"/>
      <c r="E37" s="3">
        <f>E33-D33</f>
        <v>-59.839999999999989</v>
      </c>
      <c r="F37" s="3"/>
      <c r="G37" s="3">
        <f>G33-F33</f>
        <v>-17.66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EBB99-9B8C-40DC-91FA-242CBC48A69B}">
  <dimension ref="A1:G37"/>
  <sheetViews>
    <sheetView topLeftCell="A10" workbookViewId="0">
      <selection activeCell="L26" sqref="L26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277.60000000000002</v>
      </c>
      <c r="C2" s="1">
        <v>325.7</v>
      </c>
      <c r="D2" s="1">
        <v>331.83</v>
      </c>
      <c r="E2" s="1">
        <v>322.85000000000002</v>
      </c>
      <c r="F2" s="1">
        <v>363.74</v>
      </c>
      <c r="G2" s="1">
        <v>393.43</v>
      </c>
    </row>
    <row r="3" spans="1:7" x14ac:dyDescent="0.25">
      <c r="A3" s="1" t="s">
        <v>7</v>
      </c>
      <c r="B3" s="1">
        <v>30.66</v>
      </c>
      <c r="C3" s="1">
        <v>37.36</v>
      </c>
      <c r="D3" s="1">
        <v>41.81</v>
      </c>
      <c r="E3" s="1">
        <v>42.5</v>
      </c>
      <c r="F3" s="1">
        <v>43.58</v>
      </c>
      <c r="G3" s="1">
        <v>41.55</v>
      </c>
    </row>
    <row r="4" spans="1:7" x14ac:dyDescent="0.25">
      <c r="A4" s="1" t="s">
        <v>8</v>
      </c>
      <c r="B4" s="1">
        <v>8654.7000000000007</v>
      </c>
      <c r="C4" s="1">
        <v>12391.35</v>
      </c>
      <c r="D4" s="1">
        <v>14080.26</v>
      </c>
      <c r="E4" s="1">
        <v>13958.36</v>
      </c>
      <c r="F4" s="1">
        <v>16148.49</v>
      </c>
      <c r="G4" s="1">
        <v>16623.740000000002</v>
      </c>
    </row>
    <row r="5" spans="1:7" x14ac:dyDescent="0.25">
      <c r="A5" s="1" t="s">
        <v>9</v>
      </c>
      <c r="B5" s="1">
        <v>386.78</v>
      </c>
      <c r="C5" s="1">
        <v>208.32</v>
      </c>
      <c r="D5" s="1">
        <v>485.53</v>
      </c>
      <c r="E5" s="1">
        <v>418.53</v>
      </c>
      <c r="F5" s="1">
        <v>362.64</v>
      </c>
      <c r="G5" s="1">
        <v>306.02</v>
      </c>
    </row>
    <row r="6" spans="1:7" x14ac:dyDescent="0.25">
      <c r="A6" s="3" t="s">
        <v>10</v>
      </c>
      <c r="B6" s="3">
        <v>38.68</v>
      </c>
      <c r="C6" s="3">
        <v>21.04</v>
      </c>
      <c r="D6" s="3">
        <v>49.04</v>
      </c>
      <c r="E6" s="3">
        <v>42.28</v>
      </c>
      <c r="F6" s="3">
        <v>36.630000000000003</v>
      </c>
      <c r="G6" s="3">
        <v>31.23</v>
      </c>
    </row>
    <row r="7" spans="1:7" x14ac:dyDescent="0.25">
      <c r="A7" s="1" t="s">
        <v>11</v>
      </c>
      <c r="B7" s="1">
        <v>364.43</v>
      </c>
      <c r="C7" s="1">
        <v>185.88</v>
      </c>
      <c r="D7" s="1">
        <v>421.78</v>
      </c>
      <c r="E7" s="1">
        <v>368.21</v>
      </c>
      <c r="F7" s="1">
        <v>322.76</v>
      </c>
      <c r="G7" s="1">
        <v>292.08999999999997</v>
      </c>
    </row>
    <row r="8" spans="1:7" x14ac:dyDescent="0.25">
      <c r="A8" s="1" t="s">
        <v>12</v>
      </c>
      <c r="B8" s="1">
        <v>36.44</v>
      </c>
      <c r="C8" s="1">
        <v>18.78</v>
      </c>
      <c r="D8" s="1">
        <v>42.6</v>
      </c>
      <c r="E8" s="1">
        <v>37.19</v>
      </c>
      <c r="F8" s="1">
        <v>32.6</v>
      </c>
      <c r="G8" s="1">
        <v>29.8</v>
      </c>
    </row>
    <row r="9" spans="1:7" x14ac:dyDescent="0.25">
      <c r="A9" s="1" t="s">
        <v>13</v>
      </c>
      <c r="B9" s="1">
        <v>100.35</v>
      </c>
      <c r="C9" s="1">
        <v>-92.25</v>
      </c>
      <c r="D9" s="1">
        <v>184.69</v>
      </c>
      <c r="E9" s="1">
        <v>87.47</v>
      </c>
      <c r="F9" s="1">
        <v>217.75</v>
      </c>
      <c r="G9" s="1">
        <v>227.48</v>
      </c>
    </row>
    <row r="10" spans="1:7" x14ac:dyDescent="0.25">
      <c r="A10" s="1" t="s">
        <v>14</v>
      </c>
      <c r="B10" s="1">
        <v>10.039999999999999</v>
      </c>
      <c r="C10" s="1">
        <v>-9.32</v>
      </c>
      <c r="D10" s="1">
        <v>18.66</v>
      </c>
      <c r="E10" s="1">
        <v>8.84</v>
      </c>
      <c r="F10" s="1">
        <v>21.99</v>
      </c>
      <c r="G10" s="1">
        <v>23.21</v>
      </c>
    </row>
    <row r="11" spans="1:7" x14ac:dyDescent="0.25">
      <c r="A11" s="1" t="s">
        <v>15</v>
      </c>
      <c r="B11" s="1">
        <v>103.57</v>
      </c>
      <c r="C11" s="1">
        <v>48.95</v>
      </c>
      <c r="D11" s="1">
        <v>69.08</v>
      </c>
      <c r="E11" s="1">
        <v>59.34</v>
      </c>
      <c r="F11" s="1">
        <v>196.68</v>
      </c>
      <c r="G11" s="1">
        <v>223.83</v>
      </c>
    </row>
    <row r="12" spans="1:7" x14ac:dyDescent="0.25">
      <c r="A12" s="1" t="s">
        <v>16</v>
      </c>
      <c r="B12" s="1">
        <v>146.05000000000001</v>
      </c>
      <c r="C12" s="1">
        <v>157.93</v>
      </c>
      <c r="D12" s="1">
        <v>121.31</v>
      </c>
      <c r="E12" s="1">
        <v>92.79</v>
      </c>
      <c r="F12" s="1">
        <v>158.07</v>
      </c>
      <c r="G12" s="1">
        <v>208.44</v>
      </c>
    </row>
    <row r="13" spans="1:7" x14ac:dyDescent="0.25">
      <c r="A13" s="1" t="s">
        <v>17</v>
      </c>
      <c r="B13" s="1">
        <v>9.7899999999999991</v>
      </c>
      <c r="C13" s="1">
        <v>11.82</v>
      </c>
      <c r="D13" s="1">
        <v>18.670000000000002</v>
      </c>
      <c r="E13" s="1">
        <v>35.880000000000003</v>
      </c>
      <c r="F13" s="1">
        <v>18.350000000000001</v>
      </c>
      <c r="G13" s="1">
        <v>9.9700000000000006</v>
      </c>
    </row>
    <row r="14" spans="1:7" x14ac:dyDescent="0.25">
      <c r="A14" s="1" t="s">
        <v>18</v>
      </c>
      <c r="B14" s="1">
        <v>23.19</v>
      </c>
      <c r="C14" s="1">
        <v>23.43</v>
      </c>
      <c r="D14" s="1">
        <v>64.3</v>
      </c>
      <c r="E14" s="1">
        <v>66.64</v>
      </c>
      <c r="F14" s="1">
        <v>61.64</v>
      </c>
      <c r="G14" s="1">
        <v>22.7</v>
      </c>
    </row>
    <row r="15" spans="1:7" x14ac:dyDescent="0.25">
      <c r="A15" s="1" t="s">
        <v>19</v>
      </c>
      <c r="B15" s="1">
        <v>0</v>
      </c>
      <c r="C15" s="1">
        <v>1</v>
      </c>
      <c r="D15" s="1">
        <v>4</v>
      </c>
      <c r="E15" s="1">
        <v>3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232.39</v>
      </c>
      <c r="C17" s="1">
        <v>46.81</v>
      </c>
      <c r="D17" s="1">
        <v>303.24</v>
      </c>
      <c r="E17" s="1">
        <v>227.84</v>
      </c>
      <c r="F17" s="1">
        <v>270.26</v>
      </c>
      <c r="G17" s="1">
        <v>259.79000000000002</v>
      </c>
    </row>
    <row r="18" spans="1:7" x14ac:dyDescent="0.25">
      <c r="A18" s="1" t="s">
        <v>22</v>
      </c>
      <c r="B18" s="1">
        <v>132.04</v>
      </c>
      <c r="C18" s="1">
        <v>139.06</v>
      </c>
      <c r="D18" s="1">
        <v>118.55</v>
      </c>
      <c r="E18" s="1">
        <v>140.37</v>
      </c>
      <c r="F18" s="1">
        <v>52.51</v>
      </c>
      <c r="G18" s="1">
        <v>32.299999999999997</v>
      </c>
    </row>
    <row r="19" spans="1:7" x14ac:dyDescent="0.25">
      <c r="A19" s="1" t="s">
        <v>23</v>
      </c>
      <c r="B19" s="1">
        <v>4</v>
      </c>
      <c r="C19" s="1">
        <v>3</v>
      </c>
      <c r="D19" s="1">
        <v>2</v>
      </c>
      <c r="E19" s="1">
        <v>6</v>
      </c>
      <c r="F19" s="1">
        <v>2</v>
      </c>
      <c r="G19" s="1">
        <v>1</v>
      </c>
    </row>
    <row r="20" spans="1:7" x14ac:dyDescent="0.25">
      <c r="A20" s="1" t="s">
        <v>24</v>
      </c>
      <c r="B20" s="1">
        <v>4.5999999999999996</v>
      </c>
      <c r="C20" s="1">
        <v>8.1</v>
      </c>
      <c r="D20" s="1">
        <v>3.9</v>
      </c>
      <c r="E20" s="1">
        <v>4.8</v>
      </c>
      <c r="F20" s="1">
        <v>1</v>
      </c>
      <c r="G20" s="1">
        <v>0.8</v>
      </c>
    </row>
    <row r="21" spans="1:7" x14ac:dyDescent="0.25">
      <c r="A21" s="1" t="s">
        <v>25</v>
      </c>
      <c r="B21" s="1">
        <v>5.5</v>
      </c>
      <c r="C21" s="1">
        <v>1.9</v>
      </c>
      <c r="D21" s="1">
        <v>6.1</v>
      </c>
      <c r="E21" s="1">
        <v>5.2</v>
      </c>
      <c r="F21" s="1">
        <v>9</v>
      </c>
      <c r="G21" s="1">
        <v>9.1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2.1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1</v>
      </c>
      <c r="D24" s="1">
        <v>1.3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9.1</v>
      </c>
      <c r="C25" s="1">
        <v>8</v>
      </c>
      <c r="D25" s="1">
        <v>7</v>
      </c>
      <c r="E25" s="1">
        <v>10</v>
      </c>
      <c r="F25" s="1">
        <v>7.9</v>
      </c>
      <c r="G25" s="1">
        <v>6.5</v>
      </c>
    </row>
    <row r="26" spans="1:7" x14ac:dyDescent="0.25">
      <c r="A26" s="1" t="s">
        <v>30</v>
      </c>
      <c r="B26" s="1">
        <v>1</v>
      </c>
      <c r="C26" s="1">
        <v>1</v>
      </c>
      <c r="D26" s="1">
        <v>1.7</v>
      </c>
      <c r="E26" s="1">
        <v>0</v>
      </c>
      <c r="F26" s="1">
        <v>2.1</v>
      </c>
      <c r="G26" s="1">
        <v>3.4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10</v>
      </c>
      <c r="D29" s="3">
        <f t="shared" si="1"/>
        <v>13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90.099009900990097</v>
      </c>
      <c r="C30" s="3">
        <f t="shared" ref="C30:G30" si="2">C25/C28*100</f>
        <v>80</v>
      </c>
      <c r="D30" s="3">
        <f t="shared" si="2"/>
        <v>70</v>
      </c>
      <c r="E30" s="3">
        <f t="shared" si="2"/>
        <v>100</v>
      </c>
      <c r="F30" s="3">
        <f t="shared" si="2"/>
        <v>79</v>
      </c>
      <c r="G30" s="3">
        <f t="shared" si="2"/>
        <v>65.656565656565661</v>
      </c>
    </row>
    <row r="31" spans="1:7" x14ac:dyDescent="0.25">
      <c r="A31" s="3" t="s">
        <v>34</v>
      </c>
      <c r="B31" s="3">
        <f>B26/B28*100</f>
        <v>9.9009900990099009</v>
      </c>
      <c r="C31" s="3">
        <f t="shared" ref="C31:G31" si="3">C26/C28*100</f>
        <v>10</v>
      </c>
      <c r="D31" s="3">
        <f t="shared" si="3"/>
        <v>17</v>
      </c>
      <c r="E31" s="3">
        <f t="shared" si="3"/>
        <v>0</v>
      </c>
      <c r="F31" s="3">
        <f t="shared" si="3"/>
        <v>21.000000000000004</v>
      </c>
      <c r="G31" s="3">
        <f t="shared" si="3"/>
        <v>34.343434343434339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8.4499999999999993</v>
      </c>
      <c r="C33" s="3">
        <v>-4.7300000000000004</v>
      </c>
      <c r="D33" s="3">
        <v>3.94</v>
      </c>
      <c r="E33" s="3">
        <v>4.71</v>
      </c>
      <c r="F33" s="3">
        <v>23.59</v>
      </c>
      <c r="G33" s="3">
        <v>24.63</v>
      </c>
    </row>
    <row r="35" spans="1:7" x14ac:dyDescent="0.25">
      <c r="A35" s="3" t="s">
        <v>36</v>
      </c>
      <c r="B35" s="3"/>
      <c r="C35" s="3"/>
      <c r="D35" s="3">
        <f>D33-C33</f>
        <v>8.67</v>
      </c>
      <c r="E35" s="3"/>
      <c r="F35" s="3">
        <f>F33-E33</f>
        <v>18.88</v>
      </c>
      <c r="G35" s="3"/>
    </row>
    <row r="37" spans="1:7" x14ac:dyDescent="0.25">
      <c r="A37" s="3" t="s">
        <v>36</v>
      </c>
      <c r="B37" s="3"/>
      <c r="C37" s="3">
        <f>C33-B33</f>
        <v>-13.18</v>
      </c>
      <c r="D37" s="3"/>
      <c r="E37" s="3">
        <f>E33-D33</f>
        <v>0.77</v>
      </c>
      <c r="F37" s="3"/>
      <c r="G37" s="3">
        <f>G33-F33</f>
        <v>1.0399999999999991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B19E-D9E3-477B-835B-3C1782380279}">
  <dimension ref="A1:G37"/>
  <sheetViews>
    <sheetView topLeftCell="A13" workbookViewId="0">
      <selection activeCell="J29" sqref="J29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353.18</v>
      </c>
      <c r="C2" s="1">
        <v>356.55</v>
      </c>
      <c r="D2" s="1">
        <v>341.76</v>
      </c>
      <c r="E2" s="1">
        <v>359.02</v>
      </c>
      <c r="F2" s="1">
        <v>351.47</v>
      </c>
      <c r="G2" s="1">
        <v>404.12</v>
      </c>
    </row>
    <row r="3" spans="1:7" x14ac:dyDescent="0.25">
      <c r="A3" s="1" t="s">
        <v>7</v>
      </c>
      <c r="B3" s="1">
        <v>35.369999999999997</v>
      </c>
      <c r="C3" s="1">
        <v>35.06</v>
      </c>
      <c r="D3" s="1">
        <v>32.340000000000003</v>
      </c>
      <c r="E3" s="1">
        <v>33.72</v>
      </c>
      <c r="F3" s="1">
        <v>33.17</v>
      </c>
      <c r="G3" s="1">
        <v>32.369999999999997</v>
      </c>
    </row>
    <row r="4" spans="1:7" x14ac:dyDescent="0.25">
      <c r="A4" s="1" t="s">
        <v>8</v>
      </c>
      <c r="B4" s="1">
        <v>12719.56</v>
      </c>
      <c r="C4" s="1">
        <v>12715.23</v>
      </c>
      <c r="D4" s="1">
        <v>11279</v>
      </c>
      <c r="E4" s="1">
        <v>12344.53</v>
      </c>
      <c r="F4" s="1">
        <v>11871.15</v>
      </c>
      <c r="G4" s="1">
        <v>13278.72</v>
      </c>
    </row>
    <row r="5" spans="1:7" x14ac:dyDescent="0.25">
      <c r="A5" s="1" t="s">
        <v>9</v>
      </c>
      <c r="B5" s="1">
        <v>403.03</v>
      </c>
      <c r="C5" s="1">
        <v>578.48</v>
      </c>
      <c r="D5" s="1">
        <v>1268.4000000000001</v>
      </c>
      <c r="E5" s="1">
        <v>954.29</v>
      </c>
      <c r="F5" s="1">
        <v>745.91</v>
      </c>
      <c r="G5" s="1">
        <v>586.35</v>
      </c>
    </row>
    <row r="6" spans="1:7" x14ac:dyDescent="0.25">
      <c r="A6" s="3" t="s">
        <v>10</v>
      </c>
      <c r="B6" s="3">
        <v>40.299999999999997</v>
      </c>
      <c r="C6" s="3">
        <v>58.43</v>
      </c>
      <c r="D6" s="3">
        <v>128.12</v>
      </c>
      <c r="E6" s="3">
        <v>96.39</v>
      </c>
      <c r="F6" s="3">
        <v>75.34</v>
      </c>
      <c r="G6" s="3">
        <v>59.83</v>
      </c>
    </row>
    <row r="7" spans="1:7" x14ac:dyDescent="0.25">
      <c r="A7" s="1" t="s">
        <v>11</v>
      </c>
      <c r="B7" s="1">
        <v>335.8</v>
      </c>
      <c r="C7" s="1">
        <v>421.61</v>
      </c>
      <c r="D7" s="1">
        <v>1003.67</v>
      </c>
      <c r="E7" s="1">
        <v>792.46</v>
      </c>
      <c r="F7" s="1">
        <v>662.21</v>
      </c>
      <c r="G7" s="1">
        <v>554.52</v>
      </c>
    </row>
    <row r="8" spans="1:7" x14ac:dyDescent="0.25">
      <c r="A8" s="1" t="s">
        <v>12</v>
      </c>
      <c r="B8" s="1">
        <v>33.58</v>
      </c>
      <c r="C8" s="1">
        <v>42.59</v>
      </c>
      <c r="D8" s="1">
        <v>101.38</v>
      </c>
      <c r="E8" s="1">
        <v>80.05</v>
      </c>
      <c r="F8" s="1">
        <v>66.89</v>
      </c>
      <c r="G8" s="1">
        <v>56.58</v>
      </c>
    </row>
    <row r="9" spans="1:7" x14ac:dyDescent="0.25">
      <c r="A9" s="1" t="s">
        <v>13</v>
      </c>
      <c r="B9" s="1">
        <v>231.15</v>
      </c>
      <c r="C9" s="1">
        <v>149.71</v>
      </c>
      <c r="D9" s="1">
        <v>759.7</v>
      </c>
      <c r="E9" s="1">
        <v>730.68</v>
      </c>
      <c r="F9" s="1">
        <v>562.87</v>
      </c>
      <c r="G9" s="1">
        <v>502.12</v>
      </c>
    </row>
    <row r="10" spans="1:7" x14ac:dyDescent="0.25">
      <c r="A10" s="1" t="s">
        <v>14</v>
      </c>
      <c r="B10" s="1">
        <v>23.12</v>
      </c>
      <c r="C10" s="1">
        <v>15.12</v>
      </c>
      <c r="D10" s="1">
        <v>76.739999999999995</v>
      </c>
      <c r="E10" s="1">
        <v>73.81</v>
      </c>
      <c r="F10" s="1">
        <v>56.86</v>
      </c>
      <c r="G10" s="1">
        <v>51.24</v>
      </c>
    </row>
    <row r="11" spans="1:7" x14ac:dyDescent="0.25">
      <c r="A11" s="1" t="s">
        <v>15</v>
      </c>
      <c r="B11" s="1">
        <v>98.4</v>
      </c>
      <c r="C11" s="1">
        <v>49.56</v>
      </c>
      <c r="D11" s="1">
        <v>551.03</v>
      </c>
      <c r="E11" s="1">
        <v>500.21</v>
      </c>
      <c r="F11" s="1">
        <v>514.84</v>
      </c>
      <c r="G11" s="1">
        <v>423.15</v>
      </c>
    </row>
    <row r="12" spans="1:7" x14ac:dyDescent="0.25">
      <c r="A12" s="1" t="s">
        <v>16</v>
      </c>
      <c r="B12" s="1">
        <v>142.69999999999999</v>
      </c>
      <c r="C12" s="1">
        <v>147.91</v>
      </c>
      <c r="D12" s="1">
        <v>172.19</v>
      </c>
      <c r="E12" s="1">
        <v>151.43</v>
      </c>
      <c r="F12" s="1">
        <v>193.65</v>
      </c>
      <c r="G12" s="1">
        <v>193.44</v>
      </c>
    </row>
    <row r="13" spans="1:7" x14ac:dyDescent="0.25">
      <c r="A13" s="1" t="s">
        <v>17</v>
      </c>
      <c r="B13" s="1">
        <v>30.52</v>
      </c>
      <c r="C13" s="1">
        <v>45.62</v>
      </c>
      <c r="D13" s="1">
        <v>35.619999999999997</v>
      </c>
      <c r="E13" s="1">
        <v>37.83</v>
      </c>
      <c r="F13" s="1">
        <v>14.54</v>
      </c>
      <c r="G13" s="1">
        <v>17.329999999999998</v>
      </c>
    </row>
    <row r="14" spans="1:7" x14ac:dyDescent="0.25">
      <c r="A14" s="1" t="s">
        <v>18</v>
      </c>
      <c r="B14" s="1">
        <v>78.77</v>
      </c>
      <c r="C14" s="1">
        <v>82.79</v>
      </c>
      <c r="D14" s="1">
        <v>78.150000000000006</v>
      </c>
      <c r="E14" s="1">
        <v>75.89</v>
      </c>
      <c r="F14" s="1">
        <v>51.64</v>
      </c>
      <c r="G14" s="1">
        <v>59.09</v>
      </c>
    </row>
    <row r="15" spans="1:7" x14ac:dyDescent="0.25">
      <c r="A15" s="1" t="s">
        <v>19</v>
      </c>
      <c r="B15" s="1">
        <v>2</v>
      </c>
      <c r="C15" s="1">
        <v>3</v>
      </c>
      <c r="D15" s="1">
        <v>8</v>
      </c>
      <c r="E15" s="1">
        <v>7</v>
      </c>
      <c r="F15" s="1">
        <v>3</v>
      </c>
      <c r="G15" s="1">
        <v>2</v>
      </c>
    </row>
    <row r="16" spans="1:7" x14ac:dyDescent="0.25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25">
      <c r="A17" s="1" t="s">
        <v>21</v>
      </c>
      <c r="B17" s="1">
        <v>283.48</v>
      </c>
      <c r="C17" s="1">
        <v>285.66000000000003</v>
      </c>
      <c r="D17" s="1">
        <v>881.68</v>
      </c>
      <c r="E17" s="1">
        <v>761.57</v>
      </c>
      <c r="F17" s="1">
        <v>612.54</v>
      </c>
      <c r="G17" s="1">
        <v>528.32000000000005</v>
      </c>
    </row>
    <row r="18" spans="1:7" x14ac:dyDescent="0.25">
      <c r="A18" s="1" t="s">
        <v>22</v>
      </c>
      <c r="B18" s="1">
        <v>52.32</v>
      </c>
      <c r="C18" s="1">
        <v>135.94999999999999</v>
      </c>
      <c r="D18" s="1">
        <v>121.99</v>
      </c>
      <c r="E18" s="1">
        <v>30.89</v>
      </c>
      <c r="F18" s="1">
        <v>49.67</v>
      </c>
      <c r="G18" s="1">
        <v>26.2</v>
      </c>
    </row>
    <row r="19" spans="1:7" x14ac:dyDescent="0.25">
      <c r="A19" s="1" t="s">
        <v>23</v>
      </c>
      <c r="B19" s="1">
        <v>3</v>
      </c>
      <c r="C19" s="1">
        <v>3</v>
      </c>
      <c r="D19" s="1">
        <v>2</v>
      </c>
      <c r="E19" s="1">
        <v>1</v>
      </c>
      <c r="F19" s="1">
        <v>2</v>
      </c>
      <c r="G19" s="1">
        <v>0</v>
      </c>
    </row>
    <row r="20" spans="1:7" x14ac:dyDescent="0.25">
      <c r="A20" s="1" t="s">
        <v>24</v>
      </c>
      <c r="B20" s="1">
        <v>2</v>
      </c>
      <c r="C20" s="1">
        <v>3.7</v>
      </c>
      <c r="D20" s="1">
        <v>4.0999999999999996</v>
      </c>
      <c r="E20" s="1">
        <v>0.9</v>
      </c>
      <c r="F20" s="1">
        <v>1.3</v>
      </c>
      <c r="G20" s="1">
        <v>0</v>
      </c>
    </row>
    <row r="21" spans="1:7" x14ac:dyDescent="0.25">
      <c r="A21" s="1" t="s">
        <v>25</v>
      </c>
      <c r="B21" s="1">
        <v>8.1</v>
      </c>
      <c r="C21" s="1">
        <v>6.3</v>
      </c>
      <c r="D21" s="1">
        <v>5.9</v>
      </c>
      <c r="E21" s="1">
        <v>9.1</v>
      </c>
      <c r="F21" s="1">
        <v>8.6999999999999993</v>
      </c>
      <c r="G21" s="1">
        <v>9.9</v>
      </c>
    </row>
    <row r="22" spans="1:7" x14ac:dyDescent="0.25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25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25">
      <c r="A24" s="1" t="s">
        <v>28</v>
      </c>
      <c r="B24" s="1">
        <v>0</v>
      </c>
      <c r="C24" s="1">
        <v>0</v>
      </c>
      <c r="D24" s="1">
        <v>1</v>
      </c>
      <c r="E24" s="1">
        <v>0</v>
      </c>
      <c r="F24" s="1">
        <v>0</v>
      </c>
      <c r="G24" s="1">
        <v>0</v>
      </c>
    </row>
    <row r="25" spans="1:7" x14ac:dyDescent="0.25">
      <c r="A25" s="1" t="s">
        <v>29</v>
      </c>
      <c r="B25" s="1">
        <v>5.8</v>
      </c>
      <c r="C25" s="1">
        <v>8.8000000000000007</v>
      </c>
      <c r="D25" s="1">
        <v>5</v>
      </c>
      <c r="E25" s="1">
        <v>2.4</v>
      </c>
      <c r="F25" s="1">
        <v>2.5</v>
      </c>
      <c r="G25" s="1">
        <v>0</v>
      </c>
    </row>
    <row r="26" spans="1:7" x14ac:dyDescent="0.25">
      <c r="A26" s="1" t="s">
        <v>30</v>
      </c>
      <c r="B26" s="1">
        <v>4.3</v>
      </c>
      <c r="C26" s="1">
        <v>1.2</v>
      </c>
      <c r="D26" s="1">
        <v>4</v>
      </c>
      <c r="E26" s="1">
        <v>7.6</v>
      </c>
      <c r="F26" s="1">
        <v>7.5</v>
      </c>
      <c r="G26" s="1">
        <v>9.9</v>
      </c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25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10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25">
      <c r="A30" s="3" t="s">
        <v>33</v>
      </c>
      <c r="B30" s="3">
        <f>B25/B28*100</f>
        <v>57.42574257425742</v>
      </c>
      <c r="C30" s="3">
        <f t="shared" ref="C30:G30" si="2">C25/C28*100</f>
        <v>88.000000000000014</v>
      </c>
      <c r="D30" s="3">
        <f t="shared" si="2"/>
        <v>50</v>
      </c>
      <c r="E30" s="3">
        <f t="shared" si="2"/>
        <v>24</v>
      </c>
      <c r="F30" s="3">
        <f t="shared" si="2"/>
        <v>25</v>
      </c>
      <c r="G30" s="3">
        <f t="shared" si="2"/>
        <v>0</v>
      </c>
    </row>
    <row r="31" spans="1:7" x14ac:dyDescent="0.25">
      <c r="A31" s="3" t="s">
        <v>34</v>
      </c>
      <c r="B31" s="3">
        <f>B26/B28*100</f>
        <v>42.574257425742573</v>
      </c>
      <c r="C31" s="3">
        <f t="shared" ref="C31:G31" si="3">C26/C28*100</f>
        <v>12</v>
      </c>
      <c r="D31" s="3">
        <f t="shared" si="3"/>
        <v>40</v>
      </c>
      <c r="E31" s="3">
        <f t="shared" si="3"/>
        <v>76</v>
      </c>
      <c r="F31" s="3">
        <f t="shared" si="3"/>
        <v>75</v>
      </c>
      <c r="G31" s="3">
        <f t="shared" si="3"/>
        <v>100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>
        <v>28.65</v>
      </c>
      <c r="C33" s="3">
        <v>1.78</v>
      </c>
      <c r="D33" s="3">
        <v>55.65</v>
      </c>
      <c r="E33" s="3">
        <v>87.48</v>
      </c>
      <c r="F33" s="3">
        <v>62.41</v>
      </c>
      <c r="G33" s="3">
        <v>52.82</v>
      </c>
    </row>
    <row r="35" spans="1:7" x14ac:dyDescent="0.25">
      <c r="A35" s="3" t="s">
        <v>36</v>
      </c>
      <c r="B35" s="3"/>
      <c r="C35" s="3"/>
      <c r="D35" s="3">
        <f>D33-C33</f>
        <v>53.87</v>
      </c>
      <c r="E35" s="3"/>
      <c r="F35" s="3">
        <f>F33-E33</f>
        <v>-25.070000000000007</v>
      </c>
      <c r="G35" s="3"/>
    </row>
    <row r="37" spans="1:7" x14ac:dyDescent="0.25">
      <c r="A37" s="3" t="s">
        <v>36</v>
      </c>
      <c r="B37" s="3"/>
      <c r="C37" s="3">
        <f>C33-B33</f>
        <v>-26.869999999999997</v>
      </c>
      <c r="D37" s="3"/>
      <c r="E37" s="3">
        <f>E33-D33</f>
        <v>31.830000000000005</v>
      </c>
      <c r="F37" s="3"/>
      <c r="G37" s="3">
        <f>G33-F33</f>
        <v>-9.5899999999999963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3B37-A381-4533-A01E-294039F043E1}">
  <dimension ref="A1:G37"/>
  <sheetViews>
    <sheetView tabSelected="1" workbookViewId="0">
      <selection activeCell="N13" sqref="N13"/>
    </sheetView>
  </sheetViews>
  <sheetFormatPr defaultRowHeight="15" x14ac:dyDescent="0.25"/>
  <cols>
    <col min="1" max="1" width="58.85546875" customWidth="1"/>
    <col min="2" max="7" width="12.7109375" customWidth="1"/>
  </cols>
  <sheetData>
    <row r="1" spans="1:7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/>
      <c r="C2" s="1"/>
      <c r="D2" s="1"/>
      <c r="E2" s="1"/>
      <c r="F2" s="1"/>
      <c r="G2" s="1"/>
    </row>
    <row r="3" spans="1:7" x14ac:dyDescent="0.25">
      <c r="A3" s="1" t="s">
        <v>7</v>
      </c>
      <c r="B3" s="1"/>
      <c r="C3" s="1"/>
      <c r="D3" s="1"/>
      <c r="E3" s="1"/>
      <c r="F3" s="1"/>
      <c r="G3" s="1"/>
    </row>
    <row r="4" spans="1:7" x14ac:dyDescent="0.25">
      <c r="A4" s="1" t="s">
        <v>8</v>
      </c>
      <c r="B4" s="1"/>
      <c r="C4" s="1"/>
      <c r="D4" s="1"/>
      <c r="E4" s="1"/>
      <c r="F4" s="1"/>
      <c r="G4" s="1"/>
    </row>
    <row r="5" spans="1:7" x14ac:dyDescent="0.25">
      <c r="A5" s="1" t="s">
        <v>9</v>
      </c>
      <c r="B5" s="1"/>
      <c r="C5" s="1"/>
      <c r="D5" s="1"/>
      <c r="E5" s="1"/>
      <c r="F5" s="1"/>
      <c r="G5" s="1"/>
    </row>
    <row r="6" spans="1:7" x14ac:dyDescent="0.25">
      <c r="A6" s="3" t="s">
        <v>10</v>
      </c>
      <c r="B6" s="3"/>
      <c r="C6" s="3"/>
      <c r="D6" s="3"/>
      <c r="E6" s="3"/>
      <c r="F6" s="3"/>
      <c r="G6" s="3"/>
    </row>
    <row r="7" spans="1:7" x14ac:dyDescent="0.25">
      <c r="A7" s="1" t="s">
        <v>11</v>
      </c>
      <c r="B7" s="1"/>
      <c r="C7" s="1"/>
      <c r="D7" s="1"/>
      <c r="E7" s="1"/>
      <c r="F7" s="1"/>
      <c r="G7" s="1"/>
    </row>
    <row r="8" spans="1:7" x14ac:dyDescent="0.25">
      <c r="A8" s="1" t="s">
        <v>12</v>
      </c>
      <c r="B8" s="1"/>
      <c r="C8" s="1"/>
      <c r="D8" s="1"/>
      <c r="E8" s="1"/>
      <c r="F8" s="1"/>
      <c r="G8" s="1"/>
    </row>
    <row r="9" spans="1:7" x14ac:dyDescent="0.25">
      <c r="A9" s="1" t="s">
        <v>13</v>
      </c>
      <c r="B9" s="1"/>
      <c r="C9" s="1"/>
      <c r="D9" s="1"/>
      <c r="E9" s="1"/>
      <c r="F9" s="1"/>
      <c r="G9" s="1"/>
    </row>
    <row r="10" spans="1:7" x14ac:dyDescent="0.25">
      <c r="A10" s="1" t="s">
        <v>14</v>
      </c>
      <c r="B10" s="1"/>
      <c r="C10" s="1"/>
      <c r="D10" s="1"/>
      <c r="E10" s="1"/>
      <c r="F10" s="1"/>
      <c r="G10" s="1"/>
    </row>
    <row r="11" spans="1:7" x14ac:dyDescent="0.25">
      <c r="A11" s="1" t="s">
        <v>15</v>
      </c>
      <c r="B11" s="1"/>
      <c r="C11" s="1"/>
      <c r="D11" s="1"/>
      <c r="E11" s="1"/>
      <c r="F11" s="1"/>
      <c r="G11" s="1"/>
    </row>
    <row r="12" spans="1:7" x14ac:dyDescent="0.25">
      <c r="A12" s="1" t="s">
        <v>16</v>
      </c>
      <c r="B12" s="1"/>
      <c r="C12" s="1"/>
      <c r="D12" s="1"/>
      <c r="E12" s="1"/>
      <c r="F12" s="1"/>
      <c r="G12" s="1"/>
    </row>
    <row r="13" spans="1:7" x14ac:dyDescent="0.25">
      <c r="A13" s="1" t="s">
        <v>17</v>
      </c>
      <c r="B13" s="1"/>
      <c r="C13" s="1"/>
      <c r="D13" s="1"/>
      <c r="E13" s="1"/>
      <c r="F13" s="1"/>
      <c r="G13" s="1"/>
    </row>
    <row r="14" spans="1:7" x14ac:dyDescent="0.25">
      <c r="A14" s="1" t="s">
        <v>18</v>
      </c>
      <c r="B14" s="1"/>
      <c r="C14" s="1"/>
      <c r="D14" s="1"/>
      <c r="E14" s="1"/>
      <c r="F14" s="1"/>
      <c r="G14" s="1"/>
    </row>
    <row r="15" spans="1:7" x14ac:dyDescent="0.25">
      <c r="A15" s="1" t="s">
        <v>19</v>
      </c>
      <c r="B15" s="1"/>
      <c r="C15" s="1"/>
      <c r="D15" s="1"/>
      <c r="E15" s="1"/>
      <c r="F15" s="1"/>
      <c r="G15" s="1"/>
    </row>
    <row r="16" spans="1:7" x14ac:dyDescent="0.25">
      <c r="A16" s="1" t="s">
        <v>20</v>
      </c>
      <c r="B16" s="1"/>
      <c r="C16" s="1"/>
      <c r="D16" s="1"/>
      <c r="E16" s="1"/>
      <c r="F16" s="1"/>
      <c r="G16" s="1"/>
    </row>
    <row r="17" spans="1:7" x14ac:dyDescent="0.25">
      <c r="A17" s="1" t="s">
        <v>21</v>
      </c>
      <c r="B17" s="1"/>
      <c r="C17" s="1"/>
      <c r="D17" s="1"/>
      <c r="E17" s="1"/>
      <c r="F17" s="1"/>
      <c r="G17" s="1"/>
    </row>
    <row r="18" spans="1:7" x14ac:dyDescent="0.25">
      <c r="A18" s="1" t="s">
        <v>22</v>
      </c>
      <c r="B18" s="1"/>
      <c r="C18" s="1"/>
      <c r="D18" s="1"/>
      <c r="E18" s="1"/>
      <c r="F18" s="1"/>
      <c r="G18" s="1"/>
    </row>
    <row r="19" spans="1:7" x14ac:dyDescent="0.25">
      <c r="A19" s="1" t="s">
        <v>23</v>
      </c>
      <c r="B19" s="1"/>
      <c r="C19" s="1"/>
      <c r="D19" s="1"/>
      <c r="E19" s="1"/>
      <c r="F19" s="1"/>
      <c r="G19" s="1"/>
    </row>
    <row r="20" spans="1:7" x14ac:dyDescent="0.25">
      <c r="A20" s="1" t="s">
        <v>24</v>
      </c>
      <c r="B20" s="1"/>
      <c r="C20" s="1"/>
      <c r="D20" s="1"/>
      <c r="E20" s="1"/>
      <c r="F20" s="1"/>
      <c r="G20" s="1"/>
    </row>
    <row r="21" spans="1:7" x14ac:dyDescent="0.25">
      <c r="A21" s="1" t="s">
        <v>25</v>
      </c>
      <c r="B21" s="1"/>
      <c r="C21" s="1"/>
      <c r="D21" s="1"/>
      <c r="E21" s="1"/>
      <c r="F21" s="1"/>
      <c r="G21" s="1"/>
    </row>
    <row r="22" spans="1:7" x14ac:dyDescent="0.25">
      <c r="A22" s="1" t="s">
        <v>26</v>
      </c>
      <c r="B22" s="1"/>
      <c r="C22" s="1"/>
      <c r="D22" s="1"/>
      <c r="E22" s="1"/>
      <c r="F22" s="1"/>
      <c r="G22" s="1"/>
    </row>
    <row r="23" spans="1:7" x14ac:dyDescent="0.25">
      <c r="A23" s="1" t="s">
        <v>27</v>
      </c>
      <c r="B23" s="1"/>
      <c r="C23" s="1"/>
      <c r="D23" s="1"/>
      <c r="E23" s="1"/>
      <c r="F23" s="1"/>
      <c r="G23" s="1"/>
    </row>
    <row r="24" spans="1:7" x14ac:dyDescent="0.25">
      <c r="A24" s="1" t="s">
        <v>28</v>
      </c>
      <c r="B24" s="1"/>
      <c r="C24" s="1"/>
      <c r="D24" s="1"/>
      <c r="E24" s="1"/>
      <c r="F24" s="1"/>
      <c r="G24" s="1"/>
    </row>
    <row r="25" spans="1:7" x14ac:dyDescent="0.25">
      <c r="A25" s="1" t="s">
        <v>29</v>
      </c>
      <c r="B25" s="1"/>
      <c r="C25" s="1"/>
      <c r="D25" s="1"/>
      <c r="E25" s="1"/>
      <c r="F25" s="1"/>
      <c r="G25" s="1"/>
    </row>
    <row r="26" spans="1:7" x14ac:dyDescent="0.25">
      <c r="A26" s="1" t="s">
        <v>30</v>
      </c>
      <c r="B26" s="1"/>
      <c r="C26" s="1"/>
      <c r="D26" s="1"/>
      <c r="E26" s="1"/>
      <c r="F26" s="1"/>
      <c r="G26" s="1"/>
    </row>
    <row r="27" spans="1:7" x14ac:dyDescent="0.25">
      <c r="A27" s="1"/>
      <c r="B27" s="1"/>
      <c r="C27" s="1"/>
      <c r="D27" s="1"/>
      <c r="E27" s="1"/>
      <c r="F27" s="1"/>
      <c r="G27" s="1"/>
    </row>
    <row r="28" spans="1:7" x14ac:dyDescent="0.25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25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25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25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25">
      <c r="A32" s="1"/>
      <c r="B32" s="1"/>
      <c r="C32" s="1"/>
      <c r="D32" s="1"/>
      <c r="E32" s="1"/>
      <c r="F32" s="1"/>
      <c r="G32" s="1"/>
    </row>
    <row r="33" spans="1:7" x14ac:dyDescent="0.25">
      <c r="A33" s="3" t="s">
        <v>35</v>
      </c>
      <c r="B33" s="3"/>
      <c r="C33" s="3"/>
      <c r="D33" s="3"/>
      <c r="E33" s="3"/>
      <c r="F33" s="3"/>
      <c r="G33" s="3"/>
    </row>
    <row r="35" spans="1:7" x14ac:dyDescent="0.25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25">
      <c r="A37" s="3" t="s">
        <v>36</v>
      </c>
      <c r="B37" s="3"/>
      <c r="C37" s="3">
        <f>C33-B33</f>
        <v>0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231031C003.1</vt:lpstr>
      <vt:lpstr>231031C003.3</vt:lpstr>
      <vt:lpstr>231031C003.4</vt:lpstr>
      <vt:lpstr>231031C003.5</vt:lpstr>
      <vt:lpstr>231031C004.1</vt:lpstr>
      <vt:lpstr>231031C004.2</vt:lpstr>
      <vt:lpstr>231031C004.5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2023-11-03T18:08:35Z</dcterms:created>
  <dcterms:modified xsi:type="dcterms:W3CDTF">2023-11-06T20:05:52Z</dcterms:modified>
</cp:coreProperties>
</file>