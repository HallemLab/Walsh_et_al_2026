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cute Response Assays\S. ratti\iL3s\wild-type\2023-1124\WormLab Data\"/>
    </mc:Choice>
  </mc:AlternateContent>
  <xr:revisionPtr revIDLastSave="0" documentId="13_ncr:1_{02DCA02B-03AF-4203-9D95-7C788E051338}" xr6:coauthVersionLast="36" xr6:coauthVersionMax="36" xr10:uidLastSave="{00000000-0000-0000-0000-000000000000}"/>
  <bookViews>
    <workbookView xWindow="0" yWindow="0" windowWidth="21570" windowHeight="10110" activeTab="2" xr2:uid="{C2B018FC-D1B7-4A6A-8769-0C05D6FF7513}"/>
  </bookViews>
  <sheets>
    <sheet name="231124C001.1" sheetId="2" r:id="rId1"/>
    <sheet name="231124C001.3" sheetId="3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3" l="1"/>
  <c r="E37" i="3"/>
  <c r="C37" i="3"/>
  <c r="F35" i="3"/>
  <c r="D35" i="3"/>
  <c r="E31" i="3"/>
  <c r="D31" i="3"/>
  <c r="B31" i="3"/>
  <c r="E30" i="3"/>
  <c r="D30" i="3"/>
  <c r="C30" i="3"/>
  <c r="B30" i="3"/>
  <c r="E29" i="3"/>
  <c r="G28" i="3"/>
  <c r="G31" i="3" s="1"/>
  <c r="F28" i="3"/>
  <c r="F30" i="3" s="1"/>
  <c r="E28" i="3"/>
  <c r="D28" i="3"/>
  <c r="D29" i="3" s="1"/>
  <c r="C28" i="3"/>
  <c r="C29" i="3" s="1"/>
  <c r="B28" i="3"/>
  <c r="B29" i="3" s="1"/>
  <c r="G37" i="2"/>
  <c r="E37" i="2"/>
  <c r="C37" i="2"/>
  <c r="F35" i="2"/>
  <c r="D35" i="2"/>
  <c r="G28" i="2"/>
  <c r="G31" i="2" s="1"/>
  <c r="F28" i="2"/>
  <c r="F30" i="2" s="1"/>
  <c r="E28" i="2"/>
  <c r="E30" i="2" s="1"/>
  <c r="D28" i="2"/>
  <c r="D31" i="2" s="1"/>
  <c r="C28" i="2"/>
  <c r="C29" i="2" s="1"/>
  <c r="B28" i="2"/>
  <c r="B31" i="2" s="1"/>
  <c r="F29" i="3" l="1"/>
  <c r="F31" i="3"/>
  <c r="G29" i="3"/>
  <c r="G30" i="3"/>
  <c r="C31" i="3"/>
  <c r="F31" i="2"/>
  <c r="B29" i="2"/>
  <c r="E29" i="2"/>
  <c r="F29" i="2"/>
  <c r="G29" i="2"/>
  <c r="B30" i="2"/>
  <c r="G30" i="2"/>
  <c r="C31" i="2"/>
  <c r="E31" i="2"/>
  <c r="D29" i="2"/>
  <c r="C30" i="2"/>
  <c r="D30" i="2"/>
  <c r="G37" i="1"/>
  <c r="E37" i="1"/>
  <c r="C37" i="1"/>
  <c r="F35" i="1"/>
  <c r="D35" i="1"/>
  <c r="G31" i="1"/>
  <c r="F31" i="1"/>
  <c r="E31" i="1"/>
  <c r="D31" i="1"/>
  <c r="C31" i="1"/>
  <c r="B31" i="1"/>
  <c r="G30" i="1"/>
  <c r="F30" i="1"/>
  <c r="E30" i="1"/>
  <c r="D30" i="1"/>
  <c r="C30" i="1"/>
  <c r="B30" i="1"/>
  <c r="G29" i="1"/>
  <c r="F29" i="1"/>
  <c r="E29" i="1"/>
  <c r="D29" i="1"/>
  <c r="G28" i="1"/>
  <c r="F28" i="1"/>
  <c r="E28" i="1"/>
  <c r="D28" i="1"/>
  <c r="C28" i="1"/>
  <c r="C29" i="1" s="1"/>
  <c r="B28" i="1"/>
  <c r="B29" i="1" s="1"/>
</calcChain>
</file>

<file path=xl/sharedStrings.xml><?xml version="1.0" encoding="utf-8"?>
<sst xmlns="http://schemas.openxmlformats.org/spreadsheetml/2006/main" count="114" uniqueCount="37">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</sst>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93C66-E5EE-467B-8F87-C3BA6AE46336}">
  <dimension ref="A1:G37"/>
  <sheetViews>
    <sheetView topLeftCell="A1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426.24</v>
      </c>
      <c r="C2" s="1">
        <v>391.73</v>
      </c>
      <c r="D2" s="1">
        <v>399.15</v>
      </c>
      <c r="E2" s="1">
        <v>431.19</v>
      </c>
      <c r="F2" s="1">
        <v>395.85</v>
      </c>
      <c r="G2" s="1">
        <v>335.8</v>
      </c>
    </row>
    <row r="3" spans="1:7" x14ac:dyDescent="0.25">
      <c r="A3" s="1" t="s">
        <v>7</v>
      </c>
      <c r="B3" s="1">
        <v>38.79</v>
      </c>
      <c r="C3" s="1">
        <v>32.24</v>
      </c>
      <c r="D3" s="1">
        <v>32.979999999999997</v>
      </c>
      <c r="E3" s="1">
        <v>34.200000000000003</v>
      </c>
      <c r="F3" s="1">
        <v>35.92</v>
      </c>
      <c r="G3" s="1">
        <v>29.25</v>
      </c>
    </row>
    <row r="4" spans="1:7" x14ac:dyDescent="0.25">
      <c r="A4" s="1" t="s">
        <v>8</v>
      </c>
      <c r="B4" s="1">
        <v>16812.7</v>
      </c>
      <c r="C4" s="1">
        <v>12881.03</v>
      </c>
      <c r="D4" s="1">
        <v>13482.92</v>
      </c>
      <c r="E4" s="1">
        <v>14998.62</v>
      </c>
      <c r="F4" s="1">
        <v>14581.73</v>
      </c>
      <c r="G4" s="1">
        <v>10155.459999999999</v>
      </c>
    </row>
    <row r="5" spans="1:7" x14ac:dyDescent="0.25">
      <c r="A5" s="1" t="s">
        <v>9</v>
      </c>
      <c r="B5" s="1">
        <v>571.74</v>
      </c>
      <c r="C5" s="1">
        <v>480.77</v>
      </c>
      <c r="D5" s="1">
        <v>1500.57</v>
      </c>
      <c r="E5" s="1">
        <v>1380.66</v>
      </c>
      <c r="F5" s="1">
        <v>564.80999999999995</v>
      </c>
      <c r="G5" s="1">
        <v>786.27</v>
      </c>
    </row>
    <row r="6" spans="1:7" x14ac:dyDescent="0.25">
      <c r="A6" s="3" t="s">
        <v>10</v>
      </c>
      <c r="B6" s="3">
        <v>57.17</v>
      </c>
      <c r="C6" s="3">
        <v>48.56</v>
      </c>
      <c r="D6" s="3">
        <v>151.57</v>
      </c>
      <c r="E6" s="3">
        <v>139.46</v>
      </c>
      <c r="F6" s="3">
        <v>57.05</v>
      </c>
      <c r="G6" s="3">
        <v>80.23</v>
      </c>
    </row>
    <row r="7" spans="1:7" x14ac:dyDescent="0.25">
      <c r="A7" s="1" t="s">
        <v>11</v>
      </c>
      <c r="B7" s="1">
        <v>547.9</v>
      </c>
      <c r="C7" s="1">
        <v>443.55</v>
      </c>
      <c r="D7" s="1">
        <v>1265.7</v>
      </c>
      <c r="E7" s="1">
        <v>1231.55</v>
      </c>
      <c r="F7" s="1">
        <v>506.62</v>
      </c>
      <c r="G7" s="1">
        <v>666.06</v>
      </c>
    </row>
    <row r="8" spans="1:7" x14ac:dyDescent="0.25">
      <c r="A8" s="1" t="s">
        <v>12</v>
      </c>
      <c r="B8" s="1">
        <v>54.79</v>
      </c>
      <c r="C8" s="1">
        <v>44.8</v>
      </c>
      <c r="D8" s="1">
        <v>127.85</v>
      </c>
      <c r="E8" s="1">
        <v>124.4</v>
      </c>
      <c r="F8" s="1">
        <v>51.17</v>
      </c>
      <c r="G8" s="1">
        <v>67.97</v>
      </c>
    </row>
    <row r="9" spans="1:7" x14ac:dyDescent="0.25">
      <c r="A9" s="1" t="s">
        <v>13</v>
      </c>
      <c r="B9" s="1">
        <v>379.7</v>
      </c>
      <c r="C9" s="1">
        <v>275.72000000000003</v>
      </c>
      <c r="D9" s="1">
        <v>1265.7</v>
      </c>
      <c r="E9" s="1">
        <v>1225.32</v>
      </c>
      <c r="F9" s="1">
        <v>-199.41</v>
      </c>
      <c r="G9" s="1">
        <v>530.46</v>
      </c>
    </row>
    <row r="10" spans="1:7" x14ac:dyDescent="0.25">
      <c r="A10" s="1" t="s">
        <v>14</v>
      </c>
      <c r="B10" s="1">
        <v>37.97</v>
      </c>
      <c r="C10" s="1">
        <v>27.85</v>
      </c>
      <c r="D10" s="1">
        <v>127.85</v>
      </c>
      <c r="E10" s="1">
        <v>123.77</v>
      </c>
      <c r="F10" s="1">
        <v>-20.14</v>
      </c>
      <c r="G10" s="1">
        <v>54.13</v>
      </c>
    </row>
    <row r="11" spans="1:7" x14ac:dyDescent="0.25">
      <c r="A11" s="1" t="s">
        <v>15</v>
      </c>
      <c r="B11" s="1">
        <v>303.22000000000003</v>
      </c>
      <c r="C11" s="1">
        <v>214.5</v>
      </c>
      <c r="D11" s="1">
        <v>1148.03</v>
      </c>
      <c r="E11" s="1">
        <v>1106.53</v>
      </c>
      <c r="F11" s="1">
        <v>50.65</v>
      </c>
      <c r="G11" s="1">
        <v>497.63</v>
      </c>
    </row>
    <row r="12" spans="1:7" x14ac:dyDescent="0.25">
      <c r="A12" s="1" t="s">
        <v>16</v>
      </c>
      <c r="B12" s="1">
        <v>201.87</v>
      </c>
      <c r="C12" s="1">
        <v>183.46</v>
      </c>
      <c r="D12" s="1">
        <v>213.26</v>
      </c>
      <c r="E12" s="1">
        <v>222.33</v>
      </c>
      <c r="F12" s="1">
        <v>187.64</v>
      </c>
      <c r="G12" s="1">
        <v>180.19</v>
      </c>
    </row>
    <row r="13" spans="1:7" x14ac:dyDescent="0.25">
      <c r="A13" s="1" t="s">
        <v>17</v>
      </c>
      <c r="B13" s="1">
        <v>21.66</v>
      </c>
      <c r="C13" s="1">
        <v>35.14</v>
      </c>
      <c r="D13" s="1">
        <v>28.07</v>
      </c>
      <c r="E13" s="1">
        <v>31.8</v>
      </c>
      <c r="F13" s="1">
        <v>21.14</v>
      </c>
      <c r="G13" s="1">
        <v>16.989999999999998</v>
      </c>
    </row>
    <row r="14" spans="1:7" x14ac:dyDescent="0.25">
      <c r="A14" s="1" t="s">
        <v>18</v>
      </c>
      <c r="B14" s="1">
        <v>50.49</v>
      </c>
      <c r="C14" s="1">
        <v>74.430000000000007</v>
      </c>
      <c r="D14" s="1">
        <v>71.64</v>
      </c>
      <c r="E14" s="1">
        <v>59.84</v>
      </c>
      <c r="F14" s="1">
        <v>75.73</v>
      </c>
      <c r="G14" s="1">
        <v>47.34</v>
      </c>
    </row>
    <row r="15" spans="1:7" x14ac:dyDescent="0.25">
      <c r="A15" s="1" t="s">
        <v>19</v>
      </c>
      <c r="B15" s="1">
        <v>4</v>
      </c>
      <c r="C15" s="1">
        <v>1</v>
      </c>
      <c r="D15" s="1">
        <v>9</v>
      </c>
      <c r="E15" s="1">
        <v>4</v>
      </c>
      <c r="F15" s="1">
        <v>3</v>
      </c>
      <c r="G15" s="1">
        <v>5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463.8</v>
      </c>
      <c r="C17" s="1">
        <v>359.63</v>
      </c>
      <c r="D17" s="1">
        <v>1265.7</v>
      </c>
      <c r="E17" s="1">
        <v>1228.43</v>
      </c>
      <c r="F17" s="1">
        <v>153.6</v>
      </c>
      <c r="G17" s="1">
        <v>598.26</v>
      </c>
    </row>
    <row r="18" spans="1:7" x14ac:dyDescent="0.25">
      <c r="A18" s="1" t="s">
        <v>22</v>
      </c>
      <c r="B18" s="1">
        <v>84.1</v>
      </c>
      <c r="C18" s="1">
        <v>83.92</v>
      </c>
      <c r="D18" s="1">
        <v>0</v>
      </c>
      <c r="E18" s="1">
        <v>3.12</v>
      </c>
      <c r="F18" s="1">
        <v>353.02</v>
      </c>
      <c r="G18" s="1">
        <v>67.8</v>
      </c>
    </row>
    <row r="19" spans="1:7" x14ac:dyDescent="0.25">
      <c r="A19" s="1" t="s">
        <v>23</v>
      </c>
      <c r="B19" s="1">
        <v>1</v>
      </c>
      <c r="C19" s="1">
        <v>1</v>
      </c>
      <c r="D19" s="1">
        <v>0</v>
      </c>
      <c r="E19" s="1">
        <v>0</v>
      </c>
      <c r="F19" s="1">
        <v>2</v>
      </c>
      <c r="G19" s="1">
        <v>0</v>
      </c>
    </row>
    <row r="20" spans="1:7" x14ac:dyDescent="0.25">
      <c r="A20" s="1" t="s">
        <v>24</v>
      </c>
      <c r="B20" s="1">
        <v>1</v>
      </c>
      <c r="C20" s="1">
        <v>2.2999999999999998</v>
      </c>
      <c r="D20" s="1">
        <v>0</v>
      </c>
      <c r="E20" s="1">
        <v>0</v>
      </c>
      <c r="F20" s="1">
        <v>3.6</v>
      </c>
      <c r="G20" s="1">
        <v>0</v>
      </c>
    </row>
    <row r="21" spans="1:7" x14ac:dyDescent="0.25">
      <c r="A21" s="1" t="s">
        <v>25</v>
      </c>
      <c r="B21" s="1">
        <v>9.1</v>
      </c>
      <c r="C21" s="1">
        <v>7.7</v>
      </c>
      <c r="D21" s="1">
        <v>10</v>
      </c>
      <c r="E21" s="1">
        <v>10</v>
      </c>
      <c r="F21" s="1">
        <v>6.4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1.7</v>
      </c>
      <c r="G24" s="1">
        <v>0</v>
      </c>
    </row>
    <row r="25" spans="1:7" x14ac:dyDescent="0.25">
      <c r="A25" s="1" t="s">
        <v>29</v>
      </c>
      <c r="B25" s="1">
        <v>3.7</v>
      </c>
      <c r="C25" s="1">
        <v>5.9</v>
      </c>
      <c r="D25" s="1">
        <v>0</v>
      </c>
      <c r="E25" s="1">
        <v>0</v>
      </c>
      <c r="F25" s="1">
        <v>6.5</v>
      </c>
      <c r="G25" s="1">
        <v>1.9</v>
      </c>
    </row>
    <row r="26" spans="1:7" x14ac:dyDescent="0.25">
      <c r="A26" s="1" t="s">
        <v>30</v>
      </c>
      <c r="B26" s="1">
        <v>6.4</v>
      </c>
      <c r="C26" s="1">
        <v>4.0999999999999996</v>
      </c>
      <c r="D26" s="1">
        <v>10</v>
      </c>
      <c r="E26" s="1">
        <v>10</v>
      </c>
      <c r="F26" s="1">
        <v>1.8</v>
      </c>
      <c r="G26" s="1">
        <v>8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10.100000000000001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17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36.633663366336634</v>
      </c>
      <c r="C30" s="3">
        <f t="shared" ref="C30:G30" si="2">C25/C28*100</f>
        <v>59.000000000000007</v>
      </c>
      <c r="D30" s="3">
        <f t="shared" si="2"/>
        <v>0</v>
      </c>
      <c r="E30" s="3">
        <f t="shared" si="2"/>
        <v>0</v>
      </c>
      <c r="F30" s="3">
        <f t="shared" si="2"/>
        <v>65</v>
      </c>
      <c r="G30" s="3">
        <f t="shared" si="2"/>
        <v>19.19191919191919</v>
      </c>
    </row>
    <row r="31" spans="1:7" x14ac:dyDescent="0.25">
      <c r="A31" s="3" t="s">
        <v>34</v>
      </c>
      <c r="B31" s="3">
        <f>B26/B28*100</f>
        <v>63.366336633663359</v>
      </c>
      <c r="C31" s="3">
        <f t="shared" ref="C31:G31" si="3">C26/C28*100</f>
        <v>41</v>
      </c>
      <c r="D31" s="3">
        <f t="shared" si="3"/>
        <v>100</v>
      </c>
      <c r="E31" s="3">
        <f t="shared" si="3"/>
        <v>100</v>
      </c>
      <c r="F31" s="3">
        <f t="shared" si="3"/>
        <v>18</v>
      </c>
      <c r="G31" s="3">
        <f t="shared" si="3"/>
        <v>80.808080808080803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37.06</v>
      </c>
      <c r="C33" s="3">
        <v>27.6</v>
      </c>
      <c r="D33" s="3">
        <v>148.91999999999999</v>
      </c>
      <c r="E33" s="3">
        <v>134.4</v>
      </c>
      <c r="F33" s="3">
        <v>-2.14</v>
      </c>
      <c r="G33" s="3">
        <v>55.09</v>
      </c>
    </row>
    <row r="35" spans="1:7" x14ac:dyDescent="0.25">
      <c r="A35" s="3" t="s">
        <v>36</v>
      </c>
      <c r="B35" s="3"/>
      <c r="C35" s="3"/>
      <c r="D35" s="3">
        <f>D33-C33</f>
        <v>121.32</v>
      </c>
      <c r="E35" s="3"/>
      <c r="F35" s="3">
        <f>F33-E33</f>
        <v>-136.54</v>
      </c>
      <c r="G35" s="3"/>
    </row>
    <row r="37" spans="1:7" x14ac:dyDescent="0.25">
      <c r="A37" s="3" t="s">
        <v>36</v>
      </c>
      <c r="B37" s="3"/>
      <c r="C37" s="3">
        <f>C33-B33</f>
        <v>-9.4600000000000009</v>
      </c>
      <c r="D37" s="3"/>
      <c r="E37" s="3">
        <f>E33-D33</f>
        <v>-14.519999999999982</v>
      </c>
      <c r="F37" s="3"/>
      <c r="G37" s="3">
        <f>G33-F33</f>
        <v>57.230000000000004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C405F-2CF2-4F0E-8CE1-1FBD907C9E7F}">
  <dimension ref="A1:G37"/>
  <sheetViews>
    <sheetView topLeftCell="A1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536.19000000000005</v>
      </c>
      <c r="C2" s="1">
        <v>532.22</v>
      </c>
      <c r="D2" s="1">
        <v>515.55999999999995</v>
      </c>
      <c r="E2" s="1">
        <v>506.02</v>
      </c>
      <c r="F2" s="1">
        <v>445.73</v>
      </c>
      <c r="G2" s="1">
        <v>425.83</v>
      </c>
    </row>
    <row r="3" spans="1:7" x14ac:dyDescent="0.25">
      <c r="A3" s="1" t="s">
        <v>7</v>
      </c>
      <c r="B3" s="1">
        <v>36.299999999999997</v>
      </c>
      <c r="C3" s="1">
        <v>35.409999999999997</v>
      </c>
      <c r="D3" s="1">
        <v>37.58</v>
      </c>
      <c r="E3" s="1">
        <v>39.020000000000003</v>
      </c>
      <c r="F3" s="1">
        <v>37.64</v>
      </c>
      <c r="G3" s="1">
        <v>36.79</v>
      </c>
    </row>
    <row r="4" spans="1:7" x14ac:dyDescent="0.25">
      <c r="A4" s="1" t="s">
        <v>8</v>
      </c>
      <c r="B4" s="1">
        <v>19801.650000000001</v>
      </c>
      <c r="C4" s="1">
        <v>19167.37</v>
      </c>
      <c r="D4" s="1">
        <v>19683.919999999998</v>
      </c>
      <c r="E4" s="1">
        <v>20069.8</v>
      </c>
      <c r="F4" s="1">
        <v>17090.96</v>
      </c>
      <c r="G4" s="1">
        <v>15864.03</v>
      </c>
    </row>
    <row r="5" spans="1:7" x14ac:dyDescent="0.25">
      <c r="A5" s="1" t="s">
        <v>9</v>
      </c>
      <c r="B5" s="1">
        <v>154.38999999999999</v>
      </c>
      <c r="C5" s="1">
        <v>204.78</v>
      </c>
      <c r="D5" s="1">
        <v>327.79</v>
      </c>
      <c r="E5" s="1">
        <v>938.41</v>
      </c>
      <c r="F5" s="1">
        <v>575.05999999999995</v>
      </c>
      <c r="G5" s="1">
        <v>638.54999999999995</v>
      </c>
    </row>
    <row r="6" spans="1:7" x14ac:dyDescent="0.25">
      <c r="A6" s="3" t="s">
        <v>10</v>
      </c>
      <c r="B6" s="3">
        <v>15.44</v>
      </c>
      <c r="C6" s="3">
        <v>20.68</v>
      </c>
      <c r="D6" s="3">
        <v>33.11</v>
      </c>
      <c r="E6" s="3">
        <v>94.79</v>
      </c>
      <c r="F6" s="3">
        <v>58.09</v>
      </c>
      <c r="G6" s="3">
        <v>65.16</v>
      </c>
    </row>
    <row r="7" spans="1:7" x14ac:dyDescent="0.25">
      <c r="A7" s="1" t="s">
        <v>11</v>
      </c>
      <c r="B7" s="1">
        <v>129.62</v>
      </c>
      <c r="C7" s="1">
        <v>169.67</v>
      </c>
      <c r="D7" s="1">
        <v>298.19</v>
      </c>
      <c r="E7" s="1">
        <v>862.78</v>
      </c>
      <c r="F7" s="1">
        <v>444.45</v>
      </c>
      <c r="G7" s="1">
        <v>485.13</v>
      </c>
    </row>
    <row r="8" spans="1:7" x14ac:dyDescent="0.25">
      <c r="A8" s="1" t="s">
        <v>12</v>
      </c>
      <c r="B8" s="1">
        <v>12.96</v>
      </c>
      <c r="C8" s="1">
        <v>17.14</v>
      </c>
      <c r="D8" s="1">
        <v>30.12</v>
      </c>
      <c r="E8" s="1">
        <v>87.15</v>
      </c>
      <c r="F8" s="1">
        <v>44.89</v>
      </c>
      <c r="G8" s="1">
        <v>49.5</v>
      </c>
    </row>
    <row r="9" spans="1:7" x14ac:dyDescent="0.25">
      <c r="A9" s="1" t="s">
        <v>13</v>
      </c>
      <c r="B9" s="1">
        <v>-16.079999999999998</v>
      </c>
      <c r="C9" s="1">
        <v>-19.350000000000001</v>
      </c>
      <c r="D9" s="1">
        <v>192.47</v>
      </c>
      <c r="E9" s="1">
        <v>417.37</v>
      </c>
      <c r="F9" s="1">
        <v>-115.18</v>
      </c>
      <c r="G9" s="1">
        <v>-234.46</v>
      </c>
    </row>
    <row r="10" spans="1:7" x14ac:dyDescent="0.25">
      <c r="A10" s="1" t="s">
        <v>14</v>
      </c>
      <c r="B10" s="1">
        <v>-1.61</v>
      </c>
      <c r="C10" s="1">
        <v>-1.95</v>
      </c>
      <c r="D10" s="1">
        <v>19.440000000000001</v>
      </c>
      <c r="E10" s="1">
        <v>42.16</v>
      </c>
      <c r="F10" s="1">
        <v>-11.63</v>
      </c>
      <c r="G10" s="1">
        <v>-23.92</v>
      </c>
    </row>
    <row r="11" spans="1:7" x14ac:dyDescent="0.25">
      <c r="A11" s="1" t="s">
        <v>15</v>
      </c>
      <c r="B11" s="1">
        <v>6.85</v>
      </c>
      <c r="C11" s="1">
        <v>5.64</v>
      </c>
      <c r="D11" s="1">
        <v>167.81</v>
      </c>
      <c r="E11" s="1">
        <v>224.03</v>
      </c>
      <c r="F11" s="1">
        <v>47.37</v>
      </c>
      <c r="G11" s="1">
        <v>145.96</v>
      </c>
    </row>
    <row r="12" spans="1:7" x14ac:dyDescent="0.25">
      <c r="A12" s="1" t="s">
        <v>16</v>
      </c>
      <c r="B12" s="1">
        <v>264.87</v>
      </c>
      <c r="C12" s="1">
        <v>221.98</v>
      </c>
      <c r="D12" s="1">
        <v>214.06</v>
      </c>
      <c r="E12" s="1">
        <v>178.74</v>
      </c>
      <c r="F12" s="1">
        <v>137.47999999999999</v>
      </c>
      <c r="G12" s="1">
        <v>162.5</v>
      </c>
    </row>
    <row r="13" spans="1:7" x14ac:dyDescent="0.25">
      <c r="A13" s="1" t="s">
        <v>17</v>
      </c>
      <c r="B13" s="1">
        <v>50.22</v>
      </c>
      <c r="C13" s="1">
        <v>49.47</v>
      </c>
      <c r="D13" s="1">
        <v>35.35</v>
      </c>
      <c r="E13" s="1">
        <v>37.67</v>
      </c>
      <c r="F13" s="1">
        <v>49.18</v>
      </c>
      <c r="G13" s="1">
        <v>42.83</v>
      </c>
    </row>
    <row r="14" spans="1:7" x14ac:dyDescent="0.25">
      <c r="A14" s="1" t="s">
        <v>18</v>
      </c>
      <c r="B14" s="1">
        <v>58.02</v>
      </c>
      <c r="C14" s="1">
        <v>62.11</v>
      </c>
      <c r="D14" s="1">
        <v>61.35</v>
      </c>
      <c r="E14" s="1">
        <v>74.97</v>
      </c>
      <c r="F14" s="1">
        <v>95.19</v>
      </c>
      <c r="G14" s="1">
        <v>79.98</v>
      </c>
    </row>
    <row r="15" spans="1:7" x14ac:dyDescent="0.25">
      <c r="A15" s="1" t="s">
        <v>19</v>
      </c>
      <c r="B15" s="1">
        <v>1</v>
      </c>
      <c r="C15" s="1">
        <v>1</v>
      </c>
      <c r="D15" s="1">
        <v>1</v>
      </c>
      <c r="E15" s="1">
        <v>5</v>
      </c>
      <c r="F15" s="1">
        <v>2</v>
      </c>
      <c r="G15" s="1">
        <v>2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56.77</v>
      </c>
      <c r="C17" s="1">
        <v>75.16</v>
      </c>
      <c r="D17" s="1">
        <v>245.33</v>
      </c>
      <c r="E17" s="1">
        <v>640.07000000000005</v>
      </c>
      <c r="F17" s="1">
        <v>164.63</v>
      </c>
      <c r="G17" s="1">
        <v>125.33</v>
      </c>
    </row>
    <row r="18" spans="1:7" x14ac:dyDescent="0.25">
      <c r="A18" s="1" t="s">
        <v>22</v>
      </c>
      <c r="B18" s="1">
        <v>72.849999999999994</v>
      </c>
      <c r="C18" s="1">
        <v>94.51</v>
      </c>
      <c r="D18" s="1">
        <v>52.86</v>
      </c>
      <c r="E18" s="1">
        <v>222.71</v>
      </c>
      <c r="F18" s="1">
        <v>279.82</v>
      </c>
      <c r="G18" s="1">
        <v>359.8</v>
      </c>
    </row>
    <row r="19" spans="1:7" x14ac:dyDescent="0.25">
      <c r="A19" s="1" t="s">
        <v>23</v>
      </c>
      <c r="B19" s="1">
        <v>3</v>
      </c>
      <c r="C19" s="1">
        <v>0</v>
      </c>
      <c r="D19" s="1">
        <v>0</v>
      </c>
      <c r="E19" s="1">
        <v>1</v>
      </c>
      <c r="F19" s="1">
        <v>3</v>
      </c>
      <c r="G19" s="1">
        <v>4</v>
      </c>
    </row>
    <row r="20" spans="1:7" x14ac:dyDescent="0.25">
      <c r="A20" s="1" t="s">
        <v>24</v>
      </c>
      <c r="B20" s="1">
        <v>4.8</v>
      </c>
      <c r="C20" s="1">
        <v>0</v>
      </c>
      <c r="D20" s="1">
        <v>0</v>
      </c>
      <c r="E20" s="1">
        <v>2.1</v>
      </c>
      <c r="F20" s="1">
        <v>5.3</v>
      </c>
      <c r="G20" s="1">
        <v>6.9</v>
      </c>
    </row>
    <row r="21" spans="1:7" x14ac:dyDescent="0.25">
      <c r="A21" s="1" t="s">
        <v>25</v>
      </c>
      <c r="B21" s="1">
        <v>5.3</v>
      </c>
      <c r="C21" s="1">
        <v>10</v>
      </c>
      <c r="D21" s="1">
        <v>10</v>
      </c>
      <c r="E21" s="1">
        <v>7.9</v>
      </c>
      <c r="F21" s="1">
        <v>4.7</v>
      </c>
      <c r="G21" s="1">
        <v>3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1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1.2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2</v>
      </c>
      <c r="F24" s="1">
        <v>0</v>
      </c>
      <c r="G24" s="1">
        <v>2.6</v>
      </c>
    </row>
    <row r="25" spans="1:7" x14ac:dyDescent="0.25">
      <c r="A25" s="1" t="s">
        <v>29</v>
      </c>
      <c r="B25" s="1">
        <v>10.1</v>
      </c>
      <c r="C25" s="1">
        <v>10</v>
      </c>
      <c r="D25" s="1">
        <v>6.6</v>
      </c>
      <c r="E25" s="1">
        <v>1.2</v>
      </c>
      <c r="F25" s="1">
        <v>8.3000000000000007</v>
      </c>
      <c r="G25" s="1">
        <v>6.2</v>
      </c>
    </row>
    <row r="26" spans="1:7" x14ac:dyDescent="0.25">
      <c r="A26" s="1" t="s">
        <v>30</v>
      </c>
      <c r="B26" s="1">
        <v>0</v>
      </c>
      <c r="C26" s="1">
        <v>0</v>
      </c>
      <c r="D26" s="1">
        <v>3.4</v>
      </c>
      <c r="E26" s="1">
        <v>6.8</v>
      </c>
      <c r="F26" s="1">
        <v>1.7</v>
      </c>
      <c r="G26" s="1">
        <v>1.1000000000000001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20</v>
      </c>
      <c r="F29" s="3">
        <f t="shared" si="1"/>
        <v>0</v>
      </c>
      <c r="G29" s="3">
        <f t="shared" si="1"/>
        <v>26.262626262626267</v>
      </c>
    </row>
    <row r="30" spans="1:7" x14ac:dyDescent="0.25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65.999999999999986</v>
      </c>
      <c r="E30" s="3">
        <f t="shared" si="2"/>
        <v>12</v>
      </c>
      <c r="F30" s="3">
        <f t="shared" si="2"/>
        <v>83</v>
      </c>
      <c r="G30" s="3">
        <f t="shared" si="2"/>
        <v>62.62626262626263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34</v>
      </c>
      <c r="E31" s="3">
        <f t="shared" si="3"/>
        <v>68</v>
      </c>
      <c r="F31" s="3">
        <f t="shared" si="3"/>
        <v>17</v>
      </c>
      <c r="G31" s="3">
        <f t="shared" si="3"/>
        <v>11.111111111111112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-1.1299999999999999</v>
      </c>
      <c r="C33" s="3">
        <v>0.39</v>
      </c>
      <c r="D33" s="3">
        <v>19.920000000000002</v>
      </c>
      <c r="E33" s="3">
        <v>31.05</v>
      </c>
      <c r="F33" s="3">
        <v>-7.11</v>
      </c>
      <c r="G33" s="3">
        <v>-23.01</v>
      </c>
    </row>
    <row r="35" spans="1:7" x14ac:dyDescent="0.25">
      <c r="A35" s="3" t="s">
        <v>36</v>
      </c>
      <c r="B35" s="3"/>
      <c r="C35" s="3"/>
      <c r="D35" s="3">
        <f>D33-C33</f>
        <v>19.53</v>
      </c>
      <c r="E35" s="3"/>
      <c r="F35" s="3">
        <f>F33-E33</f>
        <v>-38.160000000000004</v>
      </c>
      <c r="G35" s="3"/>
    </row>
    <row r="37" spans="1:7" x14ac:dyDescent="0.25">
      <c r="A37" s="3" t="s">
        <v>36</v>
      </c>
      <c r="B37" s="3"/>
      <c r="C37" s="3">
        <f>C33-B33</f>
        <v>1.52</v>
      </c>
      <c r="D37" s="3"/>
      <c r="E37" s="3">
        <f>E33-D33</f>
        <v>11.129999999999999</v>
      </c>
      <c r="F37" s="3"/>
      <c r="G37" s="3">
        <f>G33-F33</f>
        <v>-15.900000000000002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4D30F-F966-4F9F-8182-FAD453E13A28}">
  <dimension ref="A1:G37"/>
  <sheetViews>
    <sheetView tabSelected="1" workbookViewId="0">
      <selection activeCell="K18" sqref="K18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/>
      <c r="C2" s="1"/>
      <c r="D2" s="1"/>
      <c r="E2" s="1"/>
      <c r="F2" s="1"/>
      <c r="G2" s="1"/>
    </row>
    <row r="3" spans="1:7" x14ac:dyDescent="0.25">
      <c r="A3" s="1" t="s">
        <v>7</v>
      </c>
      <c r="B3" s="1"/>
      <c r="C3" s="1"/>
      <c r="D3" s="1"/>
      <c r="E3" s="1"/>
      <c r="F3" s="1"/>
      <c r="G3" s="1"/>
    </row>
    <row r="4" spans="1:7" x14ac:dyDescent="0.25">
      <c r="A4" s="1" t="s">
        <v>8</v>
      </c>
      <c r="B4" s="1"/>
      <c r="C4" s="1"/>
      <c r="D4" s="1"/>
      <c r="E4" s="1"/>
      <c r="F4" s="1"/>
      <c r="G4" s="1"/>
    </row>
    <row r="5" spans="1:7" x14ac:dyDescent="0.25">
      <c r="A5" s="1" t="s">
        <v>9</v>
      </c>
      <c r="B5" s="1"/>
      <c r="C5" s="1"/>
      <c r="D5" s="1"/>
      <c r="E5" s="1"/>
      <c r="F5" s="1"/>
      <c r="G5" s="1"/>
    </row>
    <row r="6" spans="1:7" x14ac:dyDescent="0.25">
      <c r="A6" s="3" t="s">
        <v>10</v>
      </c>
      <c r="B6" s="3"/>
      <c r="C6" s="3"/>
      <c r="D6" s="3"/>
      <c r="E6" s="3"/>
      <c r="F6" s="3"/>
      <c r="G6" s="3"/>
    </row>
    <row r="7" spans="1:7" x14ac:dyDescent="0.25">
      <c r="A7" s="1" t="s">
        <v>11</v>
      </c>
      <c r="B7" s="1"/>
      <c r="C7" s="1"/>
      <c r="D7" s="1"/>
      <c r="E7" s="1"/>
      <c r="F7" s="1"/>
      <c r="G7" s="1"/>
    </row>
    <row r="8" spans="1:7" x14ac:dyDescent="0.25">
      <c r="A8" s="1" t="s">
        <v>12</v>
      </c>
      <c r="B8" s="1"/>
      <c r="C8" s="1"/>
      <c r="D8" s="1"/>
      <c r="E8" s="1"/>
      <c r="F8" s="1"/>
      <c r="G8" s="1"/>
    </row>
    <row r="9" spans="1:7" x14ac:dyDescent="0.25">
      <c r="A9" s="1" t="s">
        <v>13</v>
      </c>
      <c r="B9" s="1"/>
      <c r="C9" s="1"/>
      <c r="D9" s="1"/>
      <c r="E9" s="1"/>
      <c r="F9" s="1"/>
      <c r="G9" s="1"/>
    </row>
    <row r="10" spans="1:7" x14ac:dyDescent="0.25">
      <c r="A10" s="1" t="s">
        <v>14</v>
      </c>
      <c r="B10" s="1"/>
      <c r="C10" s="1"/>
      <c r="D10" s="1"/>
      <c r="E10" s="1"/>
      <c r="F10" s="1"/>
      <c r="G10" s="1"/>
    </row>
    <row r="11" spans="1:7" x14ac:dyDescent="0.25">
      <c r="A11" s="1" t="s">
        <v>15</v>
      </c>
      <c r="B11" s="1"/>
      <c r="C11" s="1"/>
      <c r="D11" s="1"/>
      <c r="E11" s="1"/>
      <c r="F11" s="1"/>
      <c r="G11" s="1"/>
    </row>
    <row r="12" spans="1:7" x14ac:dyDescent="0.25">
      <c r="A12" s="1" t="s">
        <v>16</v>
      </c>
      <c r="B12" s="1"/>
      <c r="C12" s="1"/>
      <c r="D12" s="1"/>
      <c r="E12" s="1"/>
      <c r="F12" s="1"/>
      <c r="G12" s="1"/>
    </row>
    <row r="13" spans="1:7" x14ac:dyDescent="0.25">
      <c r="A13" s="1" t="s">
        <v>17</v>
      </c>
      <c r="B13" s="1"/>
      <c r="C13" s="1"/>
      <c r="D13" s="1"/>
      <c r="E13" s="1"/>
      <c r="F13" s="1"/>
      <c r="G13" s="1"/>
    </row>
    <row r="14" spans="1:7" x14ac:dyDescent="0.25">
      <c r="A14" s="1" t="s">
        <v>18</v>
      </c>
      <c r="B14" s="1"/>
      <c r="C14" s="1"/>
      <c r="D14" s="1"/>
      <c r="E14" s="1"/>
      <c r="F14" s="1"/>
      <c r="G14" s="1"/>
    </row>
    <row r="15" spans="1:7" x14ac:dyDescent="0.25">
      <c r="A15" s="1" t="s">
        <v>19</v>
      </c>
      <c r="B15" s="1"/>
      <c r="C15" s="1"/>
      <c r="D15" s="1"/>
      <c r="E15" s="1"/>
      <c r="F15" s="1"/>
      <c r="G15" s="1"/>
    </row>
    <row r="16" spans="1:7" x14ac:dyDescent="0.25">
      <c r="A16" s="1" t="s">
        <v>20</v>
      </c>
      <c r="B16" s="1"/>
      <c r="C16" s="1"/>
      <c r="D16" s="1"/>
      <c r="E16" s="1"/>
      <c r="F16" s="1"/>
      <c r="G16" s="1"/>
    </row>
    <row r="17" spans="1:7" x14ac:dyDescent="0.25">
      <c r="A17" s="1" t="s">
        <v>21</v>
      </c>
      <c r="B17" s="1"/>
      <c r="C17" s="1"/>
      <c r="D17" s="1"/>
      <c r="E17" s="1"/>
      <c r="F17" s="1"/>
      <c r="G17" s="1"/>
    </row>
    <row r="18" spans="1:7" x14ac:dyDescent="0.25">
      <c r="A18" s="1" t="s">
        <v>22</v>
      </c>
      <c r="B18" s="1"/>
      <c r="C18" s="1"/>
      <c r="D18" s="1"/>
      <c r="E18" s="1"/>
      <c r="F18" s="1"/>
      <c r="G18" s="1"/>
    </row>
    <row r="19" spans="1:7" x14ac:dyDescent="0.25">
      <c r="A19" s="1" t="s">
        <v>23</v>
      </c>
      <c r="B19" s="1"/>
      <c r="C19" s="1"/>
      <c r="D19" s="1"/>
      <c r="E19" s="1"/>
      <c r="F19" s="1"/>
      <c r="G19" s="1"/>
    </row>
    <row r="20" spans="1:7" x14ac:dyDescent="0.25">
      <c r="A20" s="1" t="s">
        <v>24</v>
      </c>
      <c r="B20" s="1"/>
      <c r="C20" s="1"/>
      <c r="D20" s="1"/>
      <c r="E20" s="1"/>
      <c r="F20" s="1"/>
      <c r="G20" s="1"/>
    </row>
    <row r="21" spans="1:7" x14ac:dyDescent="0.25">
      <c r="A21" s="1" t="s">
        <v>25</v>
      </c>
      <c r="B21" s="1"/>
      <c r="C21" s="1"/>
      <c r="D21" s="1"/>
      <c r="E21" s="1"/>
      <c r="F21" s="1"/>
      <c r="G21" s="1"/>
    </row>
    <row r="22" spans="1:7" x14ac:dyDescent="0.25">
      <c r="A22" s="1" t="s">
        <v>26</v>
      </c>
      <c r="B22" s="1"/>
      <c r="C22" s="1"/>
      <c r="D22" s="1"/>
      <c r="E22" s="1"/>
      <c r="F22" s="1"/>
      <c r="G22" s="1"/>
    </row>
    <row r="23" spans="1:7" x14ac:dyDescent="0.25">
      <c r="A23" s="1" t="s">
        <v>27</v>
      </c>
      <c r="B23" s="1"/>
      <c r="C23" s="1"/>
      <c r="D23" s="1"/>
      <c r="E23" s="1"/>
      <c r="F23" s="1"/>
      <c r="G23" s="1"/>
    </row>
    <row r="24" spans="1:7" x14ac:dyDescent="0.25">
      <c r="A24" s="1" t="s">
        <v>28</v>
      </c>
      <c r="B24" s="1"/>
      <c r="C24" s="1"/>
      <c r="D24" s="1"/>
      <c r="E24" s="1"/>
      <c r="F24" s="1"/>
      <c r="G24" s="1"/>
    </row>
    <row r="25" spans="1:7" x14ac:dyDescent="0.25">
      <c r="A25" s="1" t="s">
        <v>29</v>
      </c>
      <c r="B25" s="1"/>
      <c r="C25" s="1"/>
      <c r="D25" s="1"/>
      <c r="E25" s="1"/>
      <c r="F25" s="1"/>
      <c r="G25" s="1"/>
    </row>
    <row r="26" spans="1:7" x14ac:dyDescent="0.25">
      <c r="A26" s="1" t="s">
        <v>30</v>
      </c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25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25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25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/>
      <c r="C33" s="3"/>
      <c r="D33" s="3"/>
      <c r="E33" s="3"/>
      <c r="F33" s="3"/>
      <c r="G33" s="3"/>
    </row>
    <row r="35" spans="1:7" x14ac:dyDescent="0.25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25">
      <c r="A37" s="3" t="s">
        <v>36</v>
      </c>
      <c r="B37" s="3"/>
      <c r="C37" s="3">
        <f>C33-B33</f>
        <v>0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231124C001.1</vt:lpstr>
      <vt:lpstr>231124C001.3</vt:lpstr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2023-12-13T23:51:52Z</dcterms:created>
  <dcterms:modified xsi:type="dcterms:W3CDTF">2023-12-14T20:30:38Z</dcterms:modified>
</cp:coreProperties>
</file>