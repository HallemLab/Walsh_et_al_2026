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6CE09BE5-BCF7-4591-94EE-336E7F3E5651}" xr6:coauthVersionLast="36" xr6:coauthVersionMax="36" xr10:uidLastSave="{00000000-0000-0000-0000-000000000000}"/>
  <bookViews>
    <workbookView xWindow="0" yWindow="0" windowWidth="15300" windowHeight="7485" firstSheet="1" activeTab="6" xr2:uid="{09F139EE-409A-4D82-8CA0-1978AA90A0B6}"/>
  </bookViews>
  <sheets>
    <sheet name="231219C001.2" sheetId="2" r:id="rId1"/>
    <sheet name="231219C001.4" sheetId="3" r:id="rId2"/>
    <sheet name="231219C001.5" sheetId="4" r:id="rId3"/>
    <sheet name="231219C002.1" sheetId="5" r:id="rId4"/>
    <sheet name="231219C002.2" sheetId="6" r:id="rId5"/>
    <sheet name="231219C003.2" sheetId="7" r:id="rId6"/>
    <sheet name="231219C003.4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F31" i="8"/>
  <c r="E31" i="8"/>
  <c r="B31" i="8"/>
  <c r="B30" i="8"/>
  <c r="B29" i="8"/>
  <c r="G28" i="8"/>
  <c r="G30" i="8" s="1"/>
  <c r="F28" i="8"/>
  <c r="F29" i="8" s="1"/>
  <c r="E28" i="8"/>
  <c r="E29" i="8" s="1"/>
  <c r="D28" i="8"/>
  <c r="D31" i="8" s="1"/>
  <c r="C28" i="8"/>
  <c r="C31" i="8" s="1"/>
  <c r="B28" i="8"/>
  <c r="C29" i="8" l="1"/>
  <c r="G29" i="8"/>
  <c r="C30" i="8"/>
  <c r="D30" i="8"/>
  <c r="E30" i="8"/>
  <c r="F30" i="8"/>
  <c r="G31" i="8"/>
  <c r="D29" i="8"/>
  <c r="G37" i="7"/>
  <c r="E37" i="7"/>
  <c r="C37" i="7"/>
  <c r="F35" i="7"/>
  <c r="D35" i="7"/>
  <c r="B30" i="7"/>
  <c r="G28" i="7"/>
  <c r="G31" i="7" s="1"/>
  <c r="F28" i="7"/>
  <c r="F31" i="7" s="1"/>
  <c r="E28" i="7"/>
  <c r="E31" i="7" s="1"/>
  <c r="D28" i="7"/>
  <c r="D29" i="7" s="1"/>
  <c r="C28" i="7"/>
  <c r="C29" i="7" s="1"/>
  <c r="B28" i="7"/>
  <c r="B31" i="7" s="1"/>
  <c r="E29" i="7" l="1"/>
  <c r="G29" i="7"/>
  <c r="G30" i="7"/>
  <c r="F29" i="7"/>
  <c r="C30" i="7"/>
  <c r="D30" i="7"/>
  <c r="E30" i="7"/>
  <c r="F30" i="7"/>
  <c r="C31" i="7"/>
  <c r="D31" i="7"/>
  <c r="B29" i="7"/>
  <c r="G37" i="6"/>
  <c r="E37" i="6"/>
  <c r="C37" i="6"/>
  <c r="F35" i="6"/>
  <c r="D35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G28" i="6"/>
  <c r="G31" i="6" s="1"/>
  <c r="F28" i="6"/>
  <c r="F31" i="6" s="1"/>
  <c r="E28" i="6"/>
  <c r="D28" i="6"/>
  <c r="C28" i="6"/>
  <c r="B28" i="6"/>
  <c r="B29" i="6" s="1"/>
  <c r="G37" i="5"/>
  <c r="E37" i="5"/>
  <c r="C37" i="5"/>
  <c r="F35" i="5"/>
  <c r="D35" i="5"/>
  <c r="G28" i="5"/>
  <c r="G31" i="5" s="1"/>
  <c r="F28" i="5"/>
  <c r="F30" i="5" s="1"/>
  <c r="E28" i="5"/>
  <c r="E30" i="5" s="1"/>
  <c r="D28" i="5"/>
  <c r="D30" i="5" s="1"/>
  <c r="C28" i="5"/>
  <c r="C29" i="5" s="1"/>
  <c r="B28" i="5"/>
  <c r="B31" i="5" s="1"/>
  <c r="G29" i="6" l="1"/>
  <c r="G30" i="6"/>
  <c r="C31" i="5"/>
  <c r="D31" i="5"/>
  <c r="E31" i="5"/>
  <c r="F31" i="5"/>
  <c r="B29" i="5"/>
  <c r="E29" i="5"/>
  <c r="D29" i="5"/>
  <c r="F29" i="5"/>
  <c r="G29" i="5"/>
  <c r="B30" i="5"/>
  <c r="C30" i="5"/>
  <c r="G30" i="5"/>
  <c r="G37" i="4"/>
  <c r="E37" i="4"/>
  <c r="C37" i="4"/>
  <c r="F35" i="4"/>
  <c r="D35" i="4"/>
  <c r="G28" i="4"/>
  <c r="G30" i="4" s="1"/>
  <c r="F28" i="4"/>
  <c r="F29" i="4" s="1"/>
  <c r="E28" i="4"/>
  <c r="E29" i="4" s="1"/>
  <c r="D28" i="4"/>
  <c r="D30" i="4" s="1"/>
  <c r="C28" i="4"/>
  <c r="C30" i="4" s="1"/>
  <c r="B28" i="4"/>
  <c r="B31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G28" i="2"/>
  <c r="F28" i="2"/>
  <c r="E28" i="2"/>
  <c r="D28" i="2"/>
  <c r="C28" i="2"/>
  <c r="C29" i="2" s="1"/>
  <c r="B28" i="2"/>
  <c r="B29" i="2" s="1"/>
  <c r="G37" i="1"/>
  <c r="E37" i="1"/>
  <c r="C37" i="1"/>
  <c r="F35" i="1"/>
  <c r="D35" i="1"/>
  <c r="G28" i="1"/>
  <c r="G31" i="1" s="1"/>
  <c r="F28" i="1"/>
  <c r="F30" i="1" s="1"/>
  <c r="E28" i="1"/>
  <c r="E30" i="1" s="1"/>
  <c r="D28" i="1"/>
  <c r="D29" i="1" s="1"/>
  <c r="C28" i="1"/>
  <c r="C31" i="1" s="1"/>
  <c r="B28" i="1"/>
  <c r="B31" i="1" s="1"/>
  <c r="B30" i="4" l="1"/>
  <c r="E31" i="4"/>
  <c r="F30" i="4"/>
  <c r="D31" i="4"/>
  <c r="F31" i="4"/>
  <c r="E30" i="4"/>
  <c r="C31" i="4"/>
  <c r="G31" i="4"/>
  <c r="B29" i="4"/>
  <c r="C29" i="4"/>
  <c r="D29" i="4"/>
  <c r="G29" i="4"/>
  <c r="E29" i="1"/>
  <c r="D31" i="1"/>
  <c r="E31" i="1"/>
  <c r="F29" i="1"/>
  <c r="G29" i="1"/>
  <c r="B30" i="1"/>
  <c r="C30" i="1"/>
  <c r="F31" i="1"/>
  <c r="D30" i="1"/>
  <c r="B29" i="1"/>
  <c r="C29" i="1"/>
  <c r="G30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<sst xmlns="http://schemas.openxmlformats.org/spreadsheetml/2006/main" count="304" uniqueCount="37">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</sst>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0334-54E3-4CC3-A0B6-978A1477434C}">
  <dimension ref="A1:G37"/>
  <sheetViews>
    <sheetView topLeftCell="A10" workbookViewId="0">
      <selection activeCell="K18" sqref="K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347.86</v>
      </c>
      <c r="C2" s="1">
        <v>326.88</v>
      </c>
      <c r="D2" s="1">
        <v>319.37</v>
      </c>
      <c r="E2" s="1">
        <v>384.34</v>
      </c>
      <c r="F2" s="1">
        <v>422.75</v>
      </c>
      <c r="G2" s="1">
        <v>384.01</v>
      </c>
    </row>
    <row r="3" spans="1:7" x14ac:dyDescent="0.25">
      <c r="A3" s="1" t="s">
        <v>7</v>
      </c>
      <c r="B3" s="1">
        <v>39.299999999999997</v>
      </c>
      <c r="C3" s="1">
        <v>32.07</v>
      </c>
      <c r="D3" s="1">
        <v>39.1</v>
      </c>
      <c r="E3" s="1">
        <v>44.09</v>
      </c>
      <c r="F3" s="1">
        <v>39.89</v>
      </c>
      <c r="G3" s="1">
        <v>40.57</v>
      </c>
    </row>
    <row r="4" spans="1:7" x14ac:dyDescent="0.25">
      <c r="A4" s="1" t="s">
        <v>8</v>
      </c>
      <c r="B4" s="1">
        <v>13921.99</v>
      </c>
      <c r="C4" s="1">
        <v>10677.93</v>
      </c>
      <c r="D4" s="1">
        <v>12719.53</v>
      </c>
      <c r="E4" s="1">
        <v>17140.98</v>
      </c>
      <c r="F4" s="1">
        <v>17106.54</v>
      </c>
      <c r="G4" s="1">
        <v>15809.4</v>
      </c>
    </row>
    <row r="5" spans="1:7" x14ac:dyDescent="0.25">
      <c r="A5" s="1" t="s">
        <v>9</v>
      </c>
      <c r="B5" s="1">
        <v>250.9</v>
      </c>
      <c r="C5" s="1">
        <v>496.65</v>
      </c>
      <c r="D5" s="1">
        <v>637.63</v>
      </c>
      <c r="E5" s="1">
        <v>758.42</v>
      </c>
      <c r="F5" s="1">
        <v>675.17</v>
      </c>
      <c r="G5" s="1">
        <v>511.36</v>
      </c>
    </row>
    <row r="6" spans="1:7" x14ac:dyDescent="0.25">
      <c r="A6" s="3" t="s">
        <v>10</v>
      </c>
      <c r="B6" s="3">
        <v>25.09</v>
      </c>
      <c r="C6" s="3">
        <v>50.17</v>
      </c>
      <c r="D6" s="3">
        <v>64.41</v>
      </c>
      <c r="E6" s="3">
        <v>76.61</v>
      </c>
      <c r="F6" s="3">
        <v>68.2</v>
      </c>
      <c r="G6" s="3">
        <v>52.18</v>
      </c>
    </row>
    <row r="7" spans="1:7" x14ac:dyDescent="0.25">
      <c r="A7" s="1" t="s">
        <v>11</v>
      </c>
      <c r="B7" s="1">
        <v>232.41</v>
      </c>
      <c r="C7" s="1">
        <v>433.87</v>
      </c>
      <c r="D7" s="1">
        <v>558.47</v>
      </c>
      <c r="E7" s="1">
        <v>634.42999999999995</v>
      </c>
      <c r="F7" s="1">
        <v>635.83000000000004</v>
      </c>
      <c r="G7" s="1">
        <v>457.01</v>
      </c>
    </row>
    <row r="8" spans="1:7" x14ac:dyDescent="0.25">
      <c r="A8" s="1" t="s">
        <v>12</v>
      </c>
      <c r="B8" s="1">
        <v>23.24</v>
      </c>
      <c r="C8" s="1">
        <v>43.83</v>
      </c>
      <c r="D8" s="1">
        <v>56.41</v>
      </c>
      <c r="E8" s="1">
        <v>64.08</v>
      </c>
      <c r="F8" s="1">
        <v>64.23</v>
      </c>
      <c r="G8" s="1">
        <v>46.63</v>
      </c>
    </row>
    <row r="9" spans="1:7" x14ac:dyDescent="0.25">
      <c r="A9" s="1" t="s">
        <v>13</v>
      </c>
      <c r="B9" s="1">
        <v>53.14</v>
      </c>
      <c r="C9" s="1">
        <v>208.82</v>
      </c>
      <c r="D9" s="1">
        <v>-257.91000000000003</v>
      </c>
      <c r="E9" s="1">
        <v>514.97</v>
      </c>
      <c r="F9" s="1">
        <v>617.92999999999995</v>
      </c>
      <c r="G9" s="1">
        <v>354.67</v>
      </c>
    </row>
    <row r="10" spans="1:7" x14ac:dyDescent="0.25">
      <c r="A10" s="1" t="s">
        <v>14</v>
      </c>
      <c r="B10" s="1">
        <v>5.31</v>
      </c>
      <c r="C10" s="1">
        <v>21.09</v>
      </c>
      <c r="D10" s="1">
        <v>-26.05</v>
      </c>
      <c r="E10" s="1">
        <v>52.02</v>
      </c>
      <c r="F10" s="1">
        <v>62.42</v>
      </c>
      <c r="G10" s="1">
        <v>36.19</v>
      </c>
    </row>
    <row r="11" spans="1:7" x14ac:dyDescent="0.25">
      <c r="A11" s="1" t="s">
        <v>15</v>
      </c>
      <c r="B11" s="1">
        <v>54.29</v>
      </c>
      <c r="C11" s="1">
        <v>194.1</v>
      </c>
      <c r="D11" s="1">
        <v>159.6</v>
      </c>
      <c r="E11" s="1">
        <v>414.96</v>
      </c>
      <c r="F11" s="1">
        <v>551.16999999999996</v>
      </c>
      <c r="G11" s="1">
        <v>322.99</v>
      </c>
    </row>
    <row r="12" spans="1:7" x14ac:dyDescent="0.25">
      <c r="A12" s="1" t="s">
        <v>16</v>
      </c>
      <c r="B12" s="1">
        <v>170.38</v>
      </c>
      <c r="C12" s="1">
        <v>172.68</v>
      </c>
      <c r="D12" s="1">
        <v>143.29</v>
      </c>
      <c r="E12" s="1">
        <v>170.43</v>
      </c>
      <c r="F12" s="1">
        <v>195.03</v>
      </c>
      <c r="G12" s="1">
        <v>192.67</v>
      </c>
    </row>
    <row r="13" spans="1:7" x14ac:dyDescent="0.25">
      <c r="A13" s="1" t="s">
        <v>17</v>
      </c>
      <c r="B13" s="1">
        <v>24.32</v>
      </c>
      <c r="C13" s="1">
        <v>27.78</v>
      </c>
      <c r="D13" s="1">
        <v>33.08</v>
      </c>
      <c r="E13" s="1">
        <v>25.99</v>
      </c>
      <c r="F13" s="1">
        <v>16</v>
      </c>
      <c r="G13" s="1">
        <v>19.850000000000001</v>
      </c>
    </row>
    <row r="14" spans="1:7" x14ac:dyDescent="0.25">
      <c r="A14" s="1" t="s">
        <v>18</v>
      </c>
      <c r="B14" s="1">
        <v>45.96</v>
      </c>
      <c r="C14" s="1">
        <v>46.9</v>
      </c>
      <c r="D14" s="1">
        <v>71.06</v>
      </c>
      <c r="E14" s="1">
        <v>73.98</v>
      </c>
      <c r="F14" s="1">
        <v>58.87</v>
      </c>
      <c r="G14" s="1">
        <v>58.59</v>
      </c>
    </row>
    <row r="15" spans="1:7" x14ac:dyDescent="0.25">
      <c r="A15" s="1" t="s">
        <v>19</v>
      </c>
      <c r="B15" s="1">
        <v>3</v>
      </c>
      <c r="C15" s="1">
        <v>4</v>
      </c>
      <c r="D15" s="1">
        <v>3</v>
      </c>
      <c r="E15" s="1">
        <v>3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142.77000000000001</v>
      </c>
      <c r="C17" s="1">
        <v>321.33999999999997</v>
      </c>
      <c r="D17" s="1">
        <v>150.28</v>
      </c>
      <c r="E17" s="1">
        <v>574.70000000000005</v>
      </c>
      <c r="F17" s="1">
        <v>626.88</v>
      </c>
      <c r="G17" s="1">
        <v>405.84</v>
      </c>
    </row>
    <row r="18" spans="1:7" x14ac:dyDescent="0.25">
      <c r="A18" s="1" t="s">
        <v>22</v>
      </c>
      <c r="B18" s="1">
        <v>89.63</v>
      </c>
      <c r="C18" s="1">
        <v>112.52</v>
      </c>
      <c r="D18" s="1">
        <v>408.19</v>
      </c>
      <c r="E18" s="1">
        <v>59.73</v>
      </c>
      <c r="F18" s="1">
        <v>8.9499999999999993</v>
      </c>
      <c r="G18" s="1">
        <v>51.17</v>
      </c>
    </row>
    <row r="19" spans="1:7" x14ac:dyDescent="0.25">
      <c r="A19" s="1" t="s">
        <v>23</v>
      </c>
      <c r="B19" s="1">
        <v>3</v>
      </c>
      <c r="C19" s="1">
        <v>1</v>
      </c>
      <c r="D19" s="1">
        <v>2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4.0999999999999996</v>
      </c>
      <c r="C20" s="1">
        <v>1.7</v>
      </c>
      <c r="D20" s="1">
        <v>5.4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6</v>
      </c>
      <c r="C21" s="1">
        <v>8.3000000000000007</v>
      </c>
      <c r="D21" s="1">
        <v>4.5999999999999996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1.1000000000000001</v>
      </c>
      <c r="D24" s="1">
        <v>5.3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3.2</v>
      </c>
      <c r="D25" s="1">
        <v>2.1</v>
      </c>
      <c r="E25" s="1">
        <v>1.3</v>
      </c>
      <c r="F25" s="1">
        <v>1.2</v>
      </c>
      <c r="G25" s="1">
        <v>4.7</v>
      </c>
    </row>
    <row r="26" spans="1:7" x14ac:dyDescent="0.25">
      <c r="A26" s="1" t="s">
        <v>30</v>
      </c>
      <c r="B26" s="1">
        <v>0</v>
      </c>
      <c r="C26" s="1">
        <v>5.7</v>
      </c>
      <c r="D26" s="1">
        <v>2.6</v>
      </c>
      <c r="E26" s="1">
        <v>8.6999999999999993</v>
      </c>
      <c r="F26" s="1">
        <v>8.8000000000000007</v>
      </c>
      <c r="G26" s="1">
        <v>5.2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11.000000000000002</v>
      </c>
      <c r="D29" s="3">
        <f t="shared" si="1"/>
        <v>53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32</v>
      </c>
      <c r="D30" s="3">
        <f t="shared" si="2"/>
        <v>21.000000000000004</v>
      </c>
      <c r="E30" s="3">
        <f t="shared" si="2"/>
        <v>13</v>
      </c>
      <c r="F30" s="3">
        <f t="shared" si="2"/>
        <v>12</v>
      </c>
      <c r="G30" s="3">
        <f t="shared" si="2"/>
        <v>47.474747474747474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57.000000000000007</v>
      </c>
      <c r="D31" s="3">
        <f t="shared" si="3"/>
        <v>26</v>
      </c>
      <c r="E31" s="3">
        <f t="shared" si="3"/>
        <v>86.999999999999986</v>
      </c>
      <c r="F31" s="3">
        <f t="shared" si="3"/>
        <v>88.000000000000014</v>
      </c>
      <c r="G31" s="3">
        <f t="shared" si="3"/>
        <v>52.525252525252533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5.8</v>
      </c>
      <c r="C33" s="3">
        <v>23.97</v>
      </c>
      <c r="D33" s="3">
        <v>-3.18</v>
      </c>
      <c r="E33" s="3">
        <v>57.03</v>
      </c>
      <c r="F33" s="3">
        <v>62.99</v>
      </c>
      <c r="G33" s="3">
        <v>37.979999999999997</v>
      </c>
    </row>
    <row r="35" spans="1:7" x14ac:dyDescent="0.25">
      <c r="A35" s="3" t="s">
        <v>36</v>
      </c>
      <c r="B35" s="3"/>
      <c r="C35" s="3"/>
      <c r="D35" s="3">
        <f>D33-C33</f>
        <v>-27.15</v>
      </c>
      <c r="E35" s="3"/>
      <c r="F35" s="3">
        <f>F33-E33</f>
        <v>5.9600000000000009</v>
      </c>
      <c r="G35" s="3"/>
    </row>
    <row r="37" spans="1:7" x14ac:dyDescent="0.25">
      <c r="A37" s="3" t="s">
        <v>36</v>
      </c>
      <c r="B37" s="3"/>
      <c r="C37" s="3">
        <f>C33-B33</f>
        <v>18.169999999999998</v>
      </c>
      <c r="D37" s="3"/>
      <c r="E37" s="3">
        <f>E33-D33</f>
        <v>60.21</v>
      </c>
      <c r="F37" s="3"/>
      <c r="G37" s="3">
        <f>G33-F33</f>
        <v>-25.010000000000005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3E38-27EA-44D1-94E7-0731D652A224}">
  <dimension ref="A1:K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1" x14ac:dyDescent="0.25">
      <c r="A2" s="1" t="s">
        <v>6</v>
      </c>
      <c r="B2" s="1">
        <v>415.41</v>
      </c>
      <c r="C2" s="1">
        <v>403.42</v>
      </c>
      <c r="D2" s="1">
        <v>438.77</v>
      </c>
      <c r="E2" s="1">
        <v>415.69</v>
      </c>
      <c r="F2" s="1">
        <v>459.85</v>
      </c>
      <c r="G2" s="1">
        <v>477.21</v>
      </c>
    </row>
    <row r="3" spans="1:11" x14ac:dyDescent="0.25">
      <c r="A3" s="1" t="s">
        <v>7</v>
      </c>
      <c r="B3" s="1">
        <v>46.34</v>
      </c>
      <c r="C3" s="1">
        <v>45.97</v>
      </c>
      <c r="D3" s="1">
        <v>44</v>
      </c>
      <c r="E3" s="1">
        <v>42.98</v>
      </c>
      <c r="F3" s="1">
        <v>42.38</v>
      </c>
      <c r="G3" s="1">
        <v>48.52</v>
      </c>
    </row>
    <row r="4" spans="1:11" x14ac:dyDescent="0.25">
      <c r="A4" s="1" t="s">
        <v>8</v>
      </c>
      <c r="B4" s="1">
        <v>19551.939999999999</v>
      </c>
      <c r="C4" s="1">
        <v>18886.07</v>
      </c>
      <c r="D4" s="1">
        <v>19615.88</v>
      </c>
      <c r="E4" s="1">
        <v>18124.72</v>
      </c>
      <c r="F4" s="1">
        <v>19703.5</v>
      </c>
      <c r="G4" s="1">
        <v>23529.93</v>
      </c>
    </row>
    <row r="5" spans="1:11" x14ac:dyDescent="0.25">
      <c r="A5" s="1" t="s">
        <v>9</v>
      </c>
      <c r="B5" s="1">
        <v>281.10000000000002</v>
      </c>
      <c r="C5" s="1">
        <v>286.02</v>
      </c>
      <c r="D5" s="1">
        <v>576.21</v>
      </c>
      <c r="E5" s="1">
        <v>820.3</v>
      </c>
      <c r="F5" s="1">
        <v>483.38</v>
      </c>
      <c r="G5" s="1">
        <v>317.8</v>
      </c>
    </row>
    <row r="6" spans="1:11" x14ac:dyDescent="0.25">
      <c r="A6" s="3" t="s">
        <v>10</v>
      </c>
      <c r="B6" s="3">
        <v>28.11</v>
      </c>
      <c r="C6" s="3">
        <v>28.89</v>
      </c>
      <c r="D6" s="3">
        <v>58.2</v>
      </c>
      <c r="E6" s="3">
        <v>82.86</v>
      </c>
      <c r="F6" s="3">
        <v>48.83</v>
      </c>
      <c r="G6" s="3">
        <v>32.43</v>
      </c>
    </row>
    <row r="7" spans="1:11" x14ac:dyDescent="0.25">
      <c r="A7" s="1" t="s">
        <v>11</v>
      </c>
      <c r="B7" s="1">
        <v>243.78</v>
      </c>
      <c r="C7" s="1">
        <v>252.19</v>
      </c>
      <c r="D7" s="1">
        <v>518.25</v>
      </c>
      <c r="E7" s="1">
        <v>750.25</v>
      </c>
      <c r="F7" s="1">
        <v>371.96</v>
      </c>
      <c r="G7" s="1">
        <v>297.69</v>
      </c>
    </row>
    <row r="8" spans="1:11" x14ac:dyDescent="0.25">
      <c r="A8" s="1" t="s">
        <v>12</v>
      </c>
      <c r="B8" s="1">
        <v>24.38</v>
      </c>
      <c r="C8" s="1">
        <v>25.47</v>
      </c>
      <c r="D8" s="1">
        <v>52.35</v>
      </c>
      <c r="E8" s="1">
        <v>75.78</v>
      </c>
      <c r="F8" s="1">
        <v>37.57</v>
      </c>
      <c r="G8" s="1">
        <v>30.38</v>
      </c>
      <c r="K8">
        <v>-1.48</v>
      </c>
    </row>
    <row r="9" spans="1:11" x14ac:dyDescent="0.25">
      <c r="A9" s="1" t="s">
        <v>13</v>
      </c>
      <c r="B9" s="1">
        <v>-76.33</v>
      </c>
      <c r="C9" s="1">
        <v>-64.430000000000007</v>
      </c>
      <c r="D9" s="1">
        <v>-184.4</v>
      </c>
      <c r="E9" s="1">
        <v>-347.45</v>
      </c>
      <c r="F9" s="1">
        <v>128.85</v>
      </c>
      <c r="G9" s="1">
        <v>284.32</v>
      </c>
      <c r="K9">
        <v>-3.82</v>
      </c>
    </row>
    <row r="10" spans="1:11" x14ac:dyDescent="0.25">
      <c r="A10" s="1" t="s">
        <v>14</v>
      </c>
      <c r="B10" s="1">
        <v>-7.63</v>
      </c>
      <c r="C10" s="1">
        <v>-6.51</v>
      </c>
      <c r="D10" s="1">
        <v>-18.63</v>
      </c>
      <c r="E10" s="1">
        <v>-35.1</v>
      </c>
      <c r="F10" s="1">
        <v>13.02</v>
      </c>
      <c r="G10" s="1">
        <v>29.01</v>
      </c>
      <c r="K10">
        <v>0.55000000000000004</v>
      </c>
    </row>
    <row r="11" spans="1:11" x14ac:dyDescent="0.25">
      <c r="A11" s="1" t="s">
        <v>15</v>
      </c>
      <c r="B11" s="1">
        <v>8.32</v>
      </c>
      <c r="C11" s="1">
        <v>42.07</v>
      </c>
      <c r="D11" s="1">
        <v>15.8</v>
      </c>
      <c r="E11" s="1">
        <v>114.89</v>
      </c>
      <c r="F11" s="1">
        <v>50.16</v>
      </c>
      <c r="G11" s="1">
        <v>261.31</v>
      </c>
      <c r="K11">
        <v>0.17</v>
      </c>
    </row>
    <row r="12" spans="1:11" x14ac:dyDescent="0.25">
      <c r="A12" s="1" t="s">
        <v>16</v>
      </c>
      <c r="B12" s="1">
        <v>211.47</v>
      </c>
      <c r="C12" s="1">
        <v>196.08</v>
      </c>
      <c r="D12" s="1">
        <v>179.59</v>
      </c>
      <c r="E12" s="1">
        <v>180.52</v>
      </c>
      <c r="F12" s="1">
        <v>122.83</v>
      </c>
      <c r="G12" s="1">
        <v>225</v>
      </c>
      <c r="K12">
        <v>5.69</v>
      </c>
    </row>
    <row r="13" spans="1:11" x14ac:dyDescent="0.25">
      <c r="A13" s="1" t="s">
        <v>17</v>
      </c>
      <c r="B13" s="1">
        <v>35.200000000000003</v>
      </c>
      <c r="C13" s="1">
        <v>41.51</v>
      </c>
      <c r="D13" s="1">
        <v>31.67</v>
      </c>
      <c r="E13" s="1">
        <v>32.67</v>
      </c>
      <c r="F13" s="1">
        <v>44.81</v>
      </c>
      <c r="G13" s="1">
        <v>30.43</v>
      </c>
      <c r="K13">
        <v>30.62</v>
      </c>
    </row>
    <row r="14" spans="1:11" x14ac:dyDescent="0.25">
      <c r="A14" s="1" t="s">
        <v>18</v>
      </c>
      <c r="B14" s="1">
        <v>49.07</v>
      </c>
      <c r="C14" s="1">
        <v>53.21</v>
      </c>
      <c r="D14" s="1">
        <v>65.14</v>
      </c>
      <c r="E14" s="1">
        <v>95.32</v>
      </c>
      <c r="F14" s="1">
        <v>85.79</v>
      </c>
      <c r="G14" s="1">
        <v>54.41</v>
      </c>
    </row>
    <row r="15" spans="1:11" x14ac:dyDescent="0.25">
      <c r="A15" s="1" t="s">
        <v>19</v>
      </c>
      <c r="B15" s="1">
        <v>1</v>
      </c>
      <c r="C15" s="1">
        <v>2</v>
      </c>
      <c r="D15" s="1">
        <v>4</v>
      </c>
      <c r="E15" s="1">
        <v>4</v>
      </c>
      <c r="F15" s="1">
        <v>5</v>
      </c>
      <c r="G15" s="1">
        <v>3</v>
      </c>
    </row>
    <row r="16" spans="1:11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83.73</v>
      </c>
      <c r="C17" s="1">
        <v>93.88</v>
      </c>
      <c r="D17" s="1">
        <v>166.93</v>
      </c>
      <c r="E17" s="1">
        <v>201.4</v>
      </c>
      <c r="F17" s="1">
        <v>250.41</v>
      </c>
      <c r="G17" s="1">
        <v>291.01</v>
      </c>
    </row>
    <row r="18" spans="1:7" x14ac:dyDescent="0.25">
      <c r="A18" s="1" t="s">
        <v>22</v>
      </c>
      <c r="B18" s="1">
        <v>160.06</v>
      </c>
      <c r="C18" s="1">
        <v>158.31</v>
      </c>
      <c r="D18" s="1">
        <v>351.33</v>
      </c>
      <c r="E18" s="1">
        <v>548.85</v>
      </c>
      <c r="F18" s="1">
        <v>121.56</v>
      </c>
      <c r="G18" s="1">
        <v>6.68</v>
      </c>
    </row>
    <row r="19" spans="1:7" x14ac:dyDescent="0.25">
      <c r="A19" s="1" t="s">
        <v>23</v>
      </c>
      <c r="B19" s="1">
        <v>2</v>
      </c>
      <c r="C19" s="1">
        <v>3</v>
      </c>
      <c r="D19" s="1">
        <v>2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5.4</v>
      </c>
      <c r="C20" s="1">
        <v>3.4</v>
      </c>
      <c r="D20" s="1">
        <v>4.5999999999999996</v>
      </c>
      <c r="E20" s="1">
        <v>4</v>
      </c>
      <c r="F20" s="1">
        <v>3.7</v>
      </c>
      <c r="G20" s="1">
        <v>0</v>
      </c>
    </row>
    <row r="21" spans="1:7" x14ac:dyDescent="0.25">
      <c r="A21" s="1" t="s">
        <v>25</v>
      </c>
      <c r="B21" s="1">
        <v>4.7</v>
      </c>
      <c r="C21" s="1">
        <v>6.6</v>
      </c>
      <c r="D21" s="1">
        <v>5.4</v>
      </c>
      <c r="E21" s="1">
        <v>6</v>
      </c>
      <c r="F21" s="1">
        <v>6.3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1.9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3</v>
      </c>
      <c r="E24" s="1">
        <v>4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5.4</v>
      </c>
      <c r="E25" s="1">
        <v>2.6</v>
      </c>
      <c r="F25" s="1">
        <v>8.9</v>
      </c>
      <c r="G25" s="1">
        <v>7.3</v>
      </c>
    </row>
    <row r="26" spans="1:7" x14ac:dyDescent="0.25">
      <c r="A26" s="1" t="s">
        <v>30</v>
      </c>
      <c r="B26" s="1">
        <v>0</v>
      </c>
      <c r="C26" s="1">
        <v>0</v>
      </c>
      <c r="D26" s="1">
        <v>1.6</v>
      </c>
      <c r="E26" s="1">
        <v>3.4</v>
      </c>
      <c r="F26" s="1">
        <v>1.1000000000000001</v>
      </c>
      <c r="G26" s="1">
        <v>2.6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30</v>
      </c>
      <c r="E29" s="3">
        <f t="shared" si="1"/>
        <v>40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54</v>
      </c>
      <c r="E30" s="3">
        <f t="shared" si="2"/>
        <v>26</v>
      </c>
      <c r="F30" s="3">
        <f t="shared" si="2"/>
        <v>89</v>
      </c>
      <c r="G30" s="3">
        <f t="shared" si="2"/>
        <v>73.73737373737373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16</v>
      </c>
      <c r="E31" s="3">
        <f t="shared" si="3"/>
        <v>34</v>
      </c>
      <c r="F31" s="3">
        <f t="shared" si="3"/>
        <v>11.000000000000002</v>
      </c>
      <c r="G31" s="3">
        <f t="shared" si="3"/>
        <v>26.262626262626267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-1.48</v>
      </c>
      <c r="C33" s="3">
        <v>-3.82</v>
      </c>
      <c r="D33" s="3">
        <v>0.55000000000000004</v>
      </c>
      <c r="E33" s="3">
        <v>0.17</v>
      </c>
      <c r="F33" s="3">
        <v>5.69</v>
      </c>
      <c r="G33" s="3">
        <v>30.62</v>
      </c>
    </row>
    <row r="35" spans="1:7" x14ac:dyDescent="0.25">
      <c r="A35" s="3" t="s">
        <v>36</v>
      </c>
      <c r="B35" s="3"/>
      <c r="C35" s="3"/>
      <c r="D35" s="3">
        <f>D33-C33</f>
        <v>4.37</v>
      </c>
      <c r="E35" s="3"/>
      <c r="F35" s="3">
        <f>F33-E33</f>
        <v>5.5200000000000005</v>
      </c>
      <c r="G35" s="3"/>
    </row>
    <row r="37" spans="1:7" x14ac:dyDescent="0.25">
      <c r="A37" s="3" t="s">
        <v>36</v>
      </c>
      <c r="B37" s="3"/>
      <c r="C37" s="3">
        <f>C33-B33</f>
        <v>-2.34</v>
      </c>
      <c r="D37" s="3"/>
      <c r="E37" s="3">
        <f>E33-D33</f>
        <v>-0.38</v>
      </c>
      <c r="F37" s="3"/>
      <c r="G37" s="3">
        <f>G33-F33</f>
        <v>24.93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CEBD-A191-489B-B45A-EA8310B25163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390.84</v>
      </c>
      <c r="C2" s="1">
        <v>340.26</v>
      </c>
      <c r="D2" s="1">
        <v>336.22</v>
      </c>
      <c r="E2" s="1">
        <v>370.05</v>
      </c>
      <c r="F2" s="1">
        <v>416.26</v>
      </c>
      <c r="G2" s="1">
        <v>415.41</v>
      </c>
    </row>
    <row r="3" spans="1:7" x14ac:dyDescent="0.25">
      <c r="A3" s="1" t="s">
        <v>7</v>
      </c>
      <c r="B3" s="1">
        <v>51.94</v>
      </c>
      <c r="C3" s="1">
        <v>57.72</v>
      </c>
      <c r="D3" s="1">
        <v>55.08</v>
      </c>
      <c r="E3" s="1">
        <v>63.73</v>
      </c>
      <c r="F3" s="1">
        <v>64.05</v>
      </c>
      <c r="G3" s="1">
        <v>64.38</v>
      </c>
    </row>
    <row r="4" spans="1:7" x14ac:dyDescent="0.25">
      <c r="A4" s="1" t="s">
        <v>8</v>
      </c>
      <c r="B4" s="1">
        <v>20621.23</v>
      </c>
      <c r="C4" s="1">
        <v>19918.439999999999</v>
      </c>
      <c r="D4" s="1">
        <v>18810.150000000001</v>
      </c>
      <c r="E4" s="1">
        <v>23942.44</v>
      </c>
      <c r="F4" s="1">
        <v>27112.54</v>
      </c>
      <c r="G4" s="1">
        <v>27224.95</v>
      </c>
    </row>
    <row r="5" spans="1:7" x14ac:dyDescent="0.25">
      <c r="A5" s="1" t="s">
        <v>9</v>
      </c>
      <c r="B5" s="1">
        <v>447.6</v>
      </c>
      <c r="C5" s="1">
        <v>423.51</v>
      </c>
      <c r="D5" s="1">
        <v>388.88</v>
      </c>
      <c r="E5" s="1">
        <v>613.96</v>
      </c>
      <c r="F5" s="1">
        <v>411.79</v>
      </c>
      <c r="G5" s="1">
        <v>494.91</v>
      </c>
    </row>
    <row r="6" spans="1:7" x14ac:dyDescent="0.25">
      <c r="A6" s="3" t="s">
        <v>10</v>
      </c>
      <c r="B6" s="3">
        <v>44.76</v>
      </c>
      <c r="C6" s="3">
        <v>42.78</v>
      </c>
      <c r="D6" s="3">
        <v>39.28</v>
      </c>
      <c r="E6" s="3">
        <v>62.02</v>
      </c>
      <c r="F6" s="3">
        <v>41.59</v>
      </c>
      <c r="G6" s="3">
        <v>50.5</v>
      </c>
    </row>
    <row r="7" spans="1:7" x14ac:dyDescent="0.25">
      <c r="A7" s="1" t="s">
        <v>11</v>
      </c>
      <c r="B7" s="1">
        <v>426.09</v>
      </c>
      <c r="C7" s="1">
        <v>388.6</v>
      </c>
      <c r="D7" s="1">
        <v>356.83</v>
      </c>
      <c r="E7" s="1">
        <v>526.33000000000004</v>
      </c>
      <c r="F7" s="1">
        <v>374.07</v>
      </c>
      <c r="G7" s="1">
        <v>395.08</v>
      </c>
    </row>
    <row r="8" spans="1:7" x14ac:dyDescent="0.25">
      <c r="A8" s="1" t="s">
        <v>12</v>
      </c>
      <c r="B8" s="1">
        <v>42.61</v>
      </c>
      <c r="C8" s="1">
        <v>39.25</v>
      </c>
      <c r="D8" s="1">
        <v>36.04</v>
      </c>
      <c r="E8" s="1">
        <v>53.17</v>
      </c>
      <c r="F8" s="1">
        <v>37.78</v>
      </c>
      <c r="G8" s="1">
        <v>40.31</v>
      </c>
    </row>
    <row r="9" spans="1:7" x14ac:dyDescent="0.25">
      <c r="A9" s="1" t="s">
        <v>13</v>
      </c>
      <c r="B9" s="1">
        <v>103.98</v>
      </c>
      <c r="C9" s="1">
        <v>-45.14</v>
      </c>
      <c r="D9" s="1">
        <v>116.37</v>
      </c>
      <c r="E9" s="1">
        <v>195.68</v>
      </c>
      <c r="F9" s="1">
        <v>358.76</v>
      </c>
      <c r="G9" s="1">
        <v>101.65</v>
      </c>
    </row>
    <row r="10" spans="1:7" x14ac:dyDescent="0.25">
      <c r="A10" s="1" t="s">
        <v>14</v>
      </c>
      <c r="B10" s="1">
        <v>10.4</v>
      </c>
      <c r="C10" s="1">
        <v>-4.5599999999999996</v>
      </c>
      <c r="D10" s="1">
        <v>11.75</v>
      </c>
      <c r="E10" s="1">
        <v>19.77</v>
      </c>
      <c r="F10" s="1">
        <v>36.24</v>
      </c>
      <c r="G10" s="1">
        <v>10.37</v>
      </c>
    </row>
    <row r="11" spans="1:7" x14ac:dyDescent="0.25">
      <c r="A11" s="1" t="s">
        <v>15</v>
      </c>
      <c r="B11" s="1">
        <v>96.82</v>
      </c>
      <c r="C11" s="1">
        <v>23.59</v>
      </c>
      <c r="D11" s="1">
        <v>93.42</v>
      </c>
      <c r="E11" s="1">
        <v>130.76</v>
      </c>
      <c r="F11" s="1">
        <v>293.26</v>
      </c>
      <c r="G11" s="1">
        <v>71.77</v>
      </c>
    </row>
    <row r="12" spans="1:7" x14ac:dyDescent="0.25">
      <c r="A12" s="1" t="s">
        <v>16</v>
      </c>
      <c r="B12" s="1">
        <v>200.43</v>
      </c>
      <c r="C12" s="1">
        <v>152.68</v>
      </c>
      <c r="D12" s="1">
        <v>152.26</v>
      </c>
      <c r="E12" s="1">
        <v>172.46</v>
      </c>
      <c r="F12" s="1">
        <v>198.41</v>
      </c>
      <c r="G12" s="1">
        <v>205.69</v>
      </c>
    </row>
    <row r="13" spans="1:7" x14ac:dyDescent="0.25">
      <c r="A13" s="1" t="s">
        <v>17</v>
      </c>
      <c r="B13" s="1">
        <v>11.48</v>
      </c>
      <c r="C13" s="1">
        <v>17.59</v>
      </c>
      <c r="D13" s="1">
        <v>24.88</v>
      </c>
      <c r="E13" s="1">
        <v>30.92</v>
      </c>
      <c r="F13" s="1">
        <v>14.52</v>
      </c>
      <c r="G13" s="1">
        <v>17.37</v>
      </c>
    </row>
    <row r="14" spans="1:7" x14ac:dyDescent="0.25">
      <c r="A14" s="1" t="s">
        <v>18</v>
      </c>
      <c r="B14" s="1">
        <v>31.44</v>
      </c>
      <c r="C14" s="1">
        <v>28.46</v>
      </c>
      <c r="D14" s="1">
        <v>48.02</v>
      </c>
      <c r="E14" s="1">
        <v>63.74</v>
      </c>
      <c r="F14" s="1">
        <v>62.17</v>
      </c>
      <c r="G14" s="1">
        <v>69.11</v>
      </c>
    </row>
    <row r="15" spans="1:7" x14ac:dyDescent="0.25">
      <c r="A15" s="1" t="s">
        <v>19</v>
      </c>
      <c r="B15" s="1">
        <v>3</v>
      </c>
      <c r="C15" s="1">
        <v>5</v>
      </c>
      <c r="D15" s="1">
        <v>1</v>
      </c>
      <c r="E15" s="1">
        <v>3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265.04000000000002</v>
      </c>
      <c r="C17" s="1">
        <v>171.73</v>
      </c>
      <c r="D17" s="1">
        <v>236.6</v>
      </c>
      <c r="E17" s="1">
        <v>361.01</v>
      </c>
      <c r="F17" s="1">
        <v>366.41</v>
      </c>
      <c r="G17" s="1">
        <v>248.37</v>
      </c>
    </row>
    <row r="18" spans="1:7" x14ac:dyDescent="0.25">
      <c r="A18" s="1" t="s">
        <v>22</v>
      </c>
      <c r="B18" s="1">
        <v>161.06</v>
      </c>
      <c r="C18" s="1">
        <v>216.87</v>
      </c>
      <c r="D18" s="1">
        <v>120.23</v>
      </c>
      <c r="E18" s="1">
        <v>165.33</v>
      </c>
      <c r="F18" s="1">
        <v>7.66</v>
      </c>
      <c r="G18" s="1">
        <v>146.71</v>
      </c>
    </row>
    <row r="19" spans="1:7" x14ac:dyDescent="0.25">
      <c r="A19" s="1" t="s">
        <v>23</v>
      </c>
      <c r="B19" s="1">
        <v>1</v>
      </c>
      <c r="C19" s="1">
        <v>2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2.2000000000000002</v>
      </c>
      <c r="C20" s="1">
        <v>2.2999999999999998</v>
      </c>
      <c r="D20" s="1">
        <v>2.8</v>
      </c>
      <c r="E20" s="1">
        <v>3.1</v>
      </c>
      <c r="F20" s="1">
        <v>0</v>
      </c>
      <c r="G20" s="1">
        <v>0</v>
      </c>
    </row>
    <row r="21" spans="1:7" x14ac:dyDescent="0.25">
      <c r="A21" s="1" t="s">
        <v>25</v>
      </c>
      <c r="B21" s="1">
        <v>7.9</v>
      </c>
      <c r="C21" s="1">
        <v>7.7</v>
      </c>
      <c r="D21" s="1">
        <v>7.2</v>
      </c>
      <c r="E21" s="1">
        <v>6.9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2.2999999999999998</v>
      </c>
      <c r="F24" s="1">
        <v>0</v>
      </c>
      <c r="G24" s="1">
        <v>0</v>
      </c>
    </row>
    <row r="25" spans="1:7" x14ac:dyDescent="0.25">
      <c r="A25" s="1" t="s">
        <v>29</v>
      </c>
      <c r="B25" s="1">
        <v>8.4</v>
      </c>
      <c r="C25" s="1">
        <v>10</v>
      </c>
      <c r="D25" s="1">
        <v>8.8000000000000007</v>
      </c>
      <c r="E25" s="1">
        <v>4.5999999999999996</v>
      </c>
      <c r="F25" s="1">
        <v>5.3</v>
      </c>
      <c r="G25" s="1">
        <v>9.9</v>
      </c>
    </row>
    <row r="26" spans="1:7" x14ac:dyDescent="0.25">
      <c r="A26" s="1" t="s">
        <v>30</v>
      </c>
      <c r="B26" s="1">
        <v>1.7</v>
      </c>
      <c r="C26" s="1">
        <v>0</v>
      </c>
      <c r="D26" s="1">
        <v>1.2</v>
      </c>
      <c r="E26" s="1">
        <v>3.1</v>
      </c>
      <c r="F26" s="1">
        <v>4.7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23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83.168316831683171</v>
      </c>
      <c r="C30" s="3">
        <f t="shared" ref="C30:G30" si="2">C25/C28*100</f>
        <v>100</v>
      </c>
      <c r="D30" s="3">
        <f t="shared" si="2"/>
        <v>88.000000000000014</v>
      </c>
      <c r="E30" s="3">
        <f t="shared" si="2"/>
        <v>46</v>
      </c>
      <c r="F30" s="3">
        <f t="shared" si="2"/>
        <v>53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16.831683168316832</v>
      </c>
      <c r="C31" s="3">
        <f t="shared" ref="C31:G31" si="3">C26/C28*100</f>
        <v>0</v>
      </c>
      <c r="D31" s="3">
        <f t="shared" si="3"/>
        <v>12</v>
      </c>
      <c r="E31" s="3">
        <f t="shared" si="3"/>
        <v>31</v>
      </c>
      <c r="F31" s="3">
        <f t="shared" si="3"/>
        <v>47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10.17</v>
      </c>
      <c r="C33" s="3">
        <v>-3.04</v>
      </c>
      <c r="D33" s="3">
        <v>10.57</v>
      </c>
      <c r="E33" s="3">
        <v>14.02</v>
      </c>
      <c r="F33" s="3">
        <v>36.130000000000003</v>
      </c>
      <c r="G33" s="3">
        <v>9.18</v>
      </c>
    </row>
    <row r="35" spans="1:7" x14ac:dyDescent="0.25">
      <c r="A35" s="3" t="s">
        <v>36</v>
      </c>
      <c r="B35" s="3"/>
      <c r="C35" s="3"/>
      <c r="D35" s="3">
        <f>D33-C33</f>
        <v>13.61</v>
      </c>
      <c r="E35" s="3"/>
      <c r="F35" s="3">
        <f>F33-E33</f>
        <v>22.110000000000003</v>
      </c>
      <c r="G35" s="3"/>
    </row>
    <row r="37" spans="1:7" x14ac:dyDescent="0.25">
      <c r="A37" s="3" t="s">
        <v>36</v>
      </c>
      <c r="B37" s="3"/>
      <c r="C37" s="3">
        <f>C33-B33</f>
        <v>-13.21</v>
      </c>
      <c r="D37" s="3"/>
      <c r="E37" s="3">
        <f>E33-D33</f>
        <v>3.4499999999999993</v>
      </c>
      <c r="F37" s="3"/>
      <c r="G37" s="3">
        <f>G33-F33</f>
        <v>-26.950000000000003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D44D-8605-4E1A-AA20-7F210B49EC04}">
  <dimension ref="A1:G37"/>
  <sheetViews>
    <sheetView topLeftCell="A10" workbookViewId="0">
      <selection activeCell="K33" sqref="K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393.23</v>
      </c>
      <c r="C2" s="1">
        <v>403.11</v>
      </c>
      <c r="D2" s="1">
        <v>362.79</v>
      </c>
      <c r="E2" s="1">
        <v>291.25</v>
      </c>
      <c r="F2" s="1">
        <v>266.81</v>
      </c>
      <c r="G2" s="1">
        <v>335.75</v>
      </c>
    </row>
    <row r="3" spans="1:7" x14ac:dyDescent="0.25">
      <c r="A3" s="1" t="s">
        <v>7</v>
      </c>
      <c r="B3" s="1">
        <v>35.49</v>
      </c>
      <c r="C3" s="1">
        <v>36.229999999999997</v>
      </c>
      <c r="D3" s="1">
        <v>37.049999999999997</v>
      </c>
      <c r="E3" s="1">
        <v>36.049999999999997</v>
      </c>
      <c r="F3" s="1">
        <v>36.19</v>
      </c>
      <c r="G3" s="1">
        <v>41.09</v>
      </c>
    </row>
    <row r="4" spans="1:7" x14ac:dyDescent="0.25">
      <c r="A4" s="1" t="s">
        <v>8</v>
      </c>
      <c r="B4" s="1">
        <v>14195.28</v>
      </c>
      <c r="C4" s="1">
        <v>14853.84</v>
      </c>
      <c r="D4" s="1">
        <v>13655.98</v>
      </c>
      <c r="E4" s="1">
        <v>10691.66</v>
      </c>
      <c r="F4" s="1">
        <v>9822.85</v>
      </c>
      <c r="G4" s="1">
        <v>14034.61</v>
      </c>
    </row>
    <row r="5" spans="1:7" x14ac:dyDescent="0.25">
      <c r="A5" s="1" t="s">
        <v>9</v>
      </c>
      <c r="B5" s="1">
        <v>183.85</v>
      </c>
      <c r="C5" s="1">
        <v>133.88999999999999</v>
      </c>
      <c r="D5" s="1">
        <v>170.1</v>
      </c>
      <c r="E5" s="1">
        <v>350.91</v>
      </c>
      <c r="F5" s="1">
        <v>250.53</v>
      </c>
      <c r="G5" s="1">
        <v>160.81</v>
      </c>
    </row>
    <row r="6" spans="1:7" x14ac:dyDescent="0.25">
      <c r="A6" s="3" t="s">
        <v>10</v>
      </c>
      <c r="B6" s="3">
        <v>18.38</v>
      </c>
      <c r="C6" s="3">
        <v>13.52</v>
      </c>
      <c r="D6" s="3">
        <v>17.18</v>
      </c>
      <c r="E6" s="3">
        <v>35.450000000000003</v>
      </c>
      <c r="F6" s="3">
        <v>25.31</v>
      </c>
      <c r="G6" s="3">
        <v>16.41</v>
      </c>
    </row>
    <row r="7" spans="1:7" x14ac:dyDescent="0.25">
      <c r="A7" s="1" t="s">
        <v>11</v>
      </c>
      <c r="B7" s="1">
        <v>166.87</v>
      </c>
      <c r="C7" s="1">
        <v>118.19</v>
      </c>
      <c r="D7" s="1">
        <v>153.24</v>
      </c>
      <c r="E7" s="1">
        <v>300.51</v>
      </c>
      <c r="F7" s="1">
        <v>194.21</v>
      </c>
      <c r="G7" s="1">
        <v>139.83000000000001</v>
      </c>
    </row>
    <row r="8" spans="1:7" x14ac:dyDescent="0.25">
      <c r="A8" s="1" t="s">
        <v>12</v>
      </c>
      <c r="B8" s="1">
        <v>16.690000000000001</v>
      </c>
      <c r="C8" s="1">
        <v>11.94</v>
      </c>
      <c r="D8" s="1">
        <v>15.48</v>
      </c>
      <c r="E8" s="1">
        <v>30.35</v>
      </c>
      <c r="F8" s="1">
        <v>19.62</v>
      </c>
      <c r="G8" s="1">
        <v>14.27</v>
      </c>
    </row>
    <row r="9" spans="1:7" x14ac:dyDescent="0.25">
      <c r="A9" s="1" t="s">
        <v>13</v>
      </c>
      <c r="B9" s="1">
        <v>32.54</v>
      </c>
      <c r="C9" s="1">
        <v>14.39</v>
      </c>
      <c r="D9" s="1">
        <v>-31.37</v>
      </c>
      <c r="E9" s="1">
        <v>128.91</v>
      </c>
      <c r="F9" s="1">
        <v>61.95</v>
      </c>
      <c r="G9" s="1">
        <v>17.73</v>
      </c>
    </row>
    <row r="10" spans="1:7" x14ac:dyDescent="0.25">
      <c r="A10" s="1" t="s">
        <v>14</v>
      </c>
      <c r="B10" s="1">
        <v>3.25</v>
      </c>
      <c r="C10" s="1">
        <v>1.45</v>
      </c>
      <c r="D10" s="1">
        <v>-3.17</v>
      </c>
      <c r="E10" s="1">
        <v>13.02</v>
      </c>
      <c r="F10" s="1">
        <v>6.26</v>
      </c>
      <c r="G10" s="1">
        <v>1.81</v>
      </c>
    </row>
    <row r="11" spans="1:7" x14ac:dyDescent="0.25">
      <c r="A11" s="1" t="s">
        <v>15</v>
      </c>
      <c r="B11" s="1">
        <v>8.3000000000000007</v>
      </c>
      <c r="C11" s="1">
        <v>5.97</v>
      </c>
      <c r="D11" s="1">
        <v>4.38</v>
      </c>
      <c r="E11" s="1">
        <v>92.17</v>
      </c>
      <c r="F11" s="1">
        <v>24.54</v>
      </c>
      <c r="G11" s="1">
        <v>4.74</v>
      </c>
    </row>
    <row r="12" spans="1:7" x14ac:dyDescent="0.25">
      <c r="A12" s="1" t="s">
        <v>16</v>
      </c>
      <c r="B12" s="1">
        <v>167.05</v>
      </c>
      <c r="C12" s="1">
        <v>167.79</v>
      </c>
      <c r="D12" s="1">
        <v>155.36000000000001</v>
      </c>
      <c r="E12" s="1">
        <v>106.48</v>
      </c>
      <c r="F12" s="1">
        <v>92.16</v>
      </c>
      <c r="G12" s="1">
        <v>147.63</v>
      </c>
    </row>
    <row r="13" spans="1:7" x14ac:dyDescent="0.25">
      <c r="A13" s="1" t="s">
        <v>17</v>
      </c>
      <c r="B13" s="1">
        <v>8.99</v>
      </c>
      <c r="C13" s="1">
        <v>18.47</v>
      </c>
      <c r="D13" s="1">
        <v>16.54</v>
      </c>
      <c r="E13" s="1">
        <v>17.510000000000002</v>
      </c>
      <c r="F13" s="1">
        <v>33.85</v>
      </c>
      <c r="G13" s="1">
        <v>18.64</v>
      </c>
    </row>
    <row r="14" spans="1:7" x14ac:dyDescent="0.25">
      <c r="A14" s="1" t="s">
        <v>18</v>
      </c>
      <c r="B14" s="1">
        <v>21.73</v>
      </c>
      <c r="C14" s="1">
        <v>26.59</v>
      </c>
      <c r="D14" s="1">
        <v>26.24</v>
      </c>
      <c r="E14" s="1">
        <v>46.38</v>
      </c>
      <c r="F14" s="1">
        <v>47.99</v>
      </c>
      <c r="G14" s="1">
        <v>24.01</v>
      </c>
    </row>
    <row r="15" spans="1:7" x14ac:dyDescent="0.25">
      <c r="A15" s="1" t="s">
        <v>19</v>
      </c>
      <c r="B15" s="1">
        <v>1</v>
      </c>
      <c r="C15" s="1">
        <v>1</v>
      </c>
      <c r="D15" s="1">
        <v>2</v>
      </c>
      <c r="E15" s="1">
        <v>4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99.7</v>
      </c>
      <c r="C17" s="1">
        <v>66.290000000000006</v>
      </c>
      <c r="D17" s="1">
        <v>60.94</v>
      </c>
      <c r="E17" s="1">
        <v>214.71</v>
      </c>
      <c r="F17" s="1">
        <v>128.08000000000001</v>
      </c>
      <c r="G17" s="1">
        <v>78.78</v>
      </c>
    </row>
    <row r="18" spans="1:7" x14ac:dyDescent="0.25">
      <c r="A18" s="1" t="s">
        <v>22</v>
      </c>
      <c r="B18" s="1">
        <v>67.16</v>
      </c>
      <c r="C18" s="1">
        <v>51.9</v>
      </c>
      <c r="D18" s="1">
        <v>92.31</v>
      </c>
      <c r="E18" s="1">
        <v>85.8</v>
      </c>
      <c r="F18" s="1">
        <v>66.13</v>
      </c>
      <c r="G18" s="1">
        <v>61.05</v>
      </c>
    </row>
    <row r="19" spans="1:7" x14ac:dyDescent="0.25">
      <c r="A19" s="1" t="s">
        <v>23</v>
      </c>
      <c r="B19" s="1">
        <v>1</v>
      </c>
      <c r="C19" s="1">
        <v>1</v>
      </c>
      <c r="D19" s="1">
        <v>3</v>
      </c>
      <c r="E19" s="1">
        <v>2</v>
      </c>
      <c r="F19" s="1">
        <v>2</v>
      </c>
      <c r="G19" s="1">
        <v>2</v>
      </c>
    </row>
    <row r="20" spans="1:7" x14ac:dyDescent="0.25">
      <c r="A20" s="1" t="s">
        <v>24</v>
      </c>
      <c r="B20" s="1">
        <v>1.4</v>
      </c>
      <c r="C20" s="1">
        <v>1.3</v>
      </c>
      <c r="D20" s="1">
        <v>4.8</v>
      </c>
      <c r="E20" s="1">
        <v>2.4</v>
      </c>
      <c r="F20" s="1">
        <v>3.5</v>
      </c>
      <c r="G20" s="1">
        <v>2.5</v>
      </c>
    </row>
    <row r="21" spans="1:7" x14ac:dyDescent="0.25">
      <c r="A21" s="1" t="s">
        <v>25</v>
      </c>
      <c r="B21" s="1">
        <v>8.6999999999999993</v>
      </c>
      <c r="C21" s="1">
        <v>8.6999999999999993</v>
      </c>
      <c r="D21" s="1">
        <v>5.2</v>
      </c>
      <c r="E21" s="1">
        <v>7.6</v>
      </c>
      <c r="F21" s="1">
        <v>6.5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7.1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2.9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71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28.999999999999996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0.48</v>
      </c>
      <c r="C33" s="3">
        <v>0.56999999999999995</v>
      </c>
      <c r="D33" s="3">
        <v>-0.6</v>
      </c>
      <c r="E33" s="3">
        <v>7.09</v>
      </c>
      <c r="F33" s="3">
        <v>0.85</v>
      </c>
      <c r="G33" s="3">
        <v>0.5</v>
      </c>
    </row>
    <row r="35" spans="1:7" x14ac:dyDescent="0.25">
      <c r="A35" s="3" t="s">
        <v>36</v>
      </c>
      <c r="B35" s="3"/>
      <c r="C35" s="3"/>
      <c r="D35" s="3">
        <f>D33-C33</f>
        <v>-1.17</v>
      </c>
      <c r="E35" s="3"/>
      <c r="F35" s="3">
        <f>F33-E33</f>
        <v>-6.24</v>
      </c>
      <c r="G35" s="3"/>
    </row>
    <row r="37" spans="1:7" x14ac:dyDescent="0.25">
      <c r="A37" s="3" t="s">
        <v>36</v>
      </c>
      <c r="B37" s="3"/>
      <c r="C37" s="3">
        <f>C33-B33</f>
        <v>8.9999999999999969E-2</v>
      </c>
      <c r="D37" s="3"/>
      <c r="E37" s="3">
        <f>E33-D33</f>
        <v>7.6899999999999995</v>
      </c>
      <c r="F37" s="3"/>
      <c r="G37" s="3">
        <f>G33-F33</f>
        <v>-0.35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9A40-B7C4-48C1-B30D-3DD5E0BC5598}">
  <dimension ref="A1:G37"/>
  <sheetViews>
    <sheetView topLeftCell="A10" workbookViewId="0">
      <selection activeCell="L28" sqref="L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394.65</v>
      </c>
      <c r="C2" s="1">
        <v>396.13</v>
      </c>
      <c r="D2" s="1">
        <v>359.78</v>
      </c>
      <c r="E2" s="1">
        <v>411.79</v>
      </c>
      <c r="F2" s="1">
        <v>410.56</v>
      </c>
      <c r="G2" s="1">
        <v>353.55</v>
      </c>
    </row>
    <row r="3" spans="1:7" x14ac:dyDescent="0.25">
      <c r="A3" s="1" t="s">
        <v>7</v>
      </c>
      <c r="B3" s="1">
        <v>36.590000000000003</v>
      </c>
      <c r="C3" s="1">
        <v>36.81</v>
      </c>
      <c r="D3" s="1">
        <v>36.729999999999997</v>
      </c>
      <c r="E3" s="1">
        <v>36.979999999999997</v>
      </c>
      <c r="F3" s="1">
        <v>34</v>
      </c>
      <c r="G3" s="1">
        <v>36.65</v>
      </c>
    </row>
    <row r="4" spans="1:7" x14ac:dyDescent="0.25">
      <c r="A4" s="1" t="s">
        <v>8</v>
      </c>
      <c r="B4" s="1">
        <v>14686.2</v>
      </c>
      <c r="C4" s="1">
        <v>14831.53</v>
      </c>
      <c r="D4" s="1">
        <v>13444.81</v>
      </c>
      <c r="E4" s="1">
        <v>15477.57</v>
      </c>
      <c r="F4" s="1">
        <v>14185.5</v>
      </c>
      <c r="G4" s="1">
        <v>13176.35</v>
      </c>
    </row>
    <row r="5" spans="1:7" x14ac:dyDescent="0.25">
      <c r="A5" s="1" t="s">
        <v>9</v>
      </c>
      <c r="B5" s="1">
        <v>86.38</v>
      </c>
      <c r="C5" s="1">
        <v>117.35</v>
      </c>
      <c r="D5" s="1">
        <v>239.22</v>
      </c>
      <c r="E5" s="1">
        <v>289.77</v>
      </c>
      <c r="F5" s="1">
        <v>439.86</v>
      </c>
      <c r="G5" s="1">
        <v>211.62</v>
      </c>
    </row>
    <row r="6" spans="1:7" x14ac:dyDescent="0.25">
      <c r="A6" s="3" t="s">
        <v>10</v>
      </c>
      <c r="B6" s="3">
        <v>8.64</v>
      </c>
      <c r="C6" s="3">
        <v>11.85</v>
      </c>
      <c r="D6" s="3">
        <v>24.16</v>
      </c>
      <c r="E6" s="3">
        <v>29.27</v>
      </c>
      <c r="F6" s="3">
        <v>44.43</v>
      </c>
      <c r="G6" s="3">
        <v>21.59</v>
      </c>
    </row>
    <row r="7" spans="1:7" x14ac:dyDescent="0.25">
      <c r="A7" s="1" t="s">
        <v>11</v>
      </c>
      <c r="B7" s="1">
        <v>67.819999999999993</v>
      </c>
      <c r="C7" s="1">
        <v>102.87</v>
      </c>
      <c r="D7" s="1">
        <v>219.37</v>
      </c>
      <c r="E7" s="1">
        <v>262.58</v>
      </c>
      <c r="F7" s="1">
        <v>420.57</v>
      </c>
      <c r="G7" s="1">
        <v>199.64</v>
      </c>
    </row>
    <row r="8" spans="1:7" x14ac:dyDescent="0.25">
      <c r="A8" s="1" t="s">
        <v>12</v>
      </c>
      <c r="B8" s="1">
        <v>6.78</v>
      </c>
      <c r="C8" s="1">
        <v>10.39</v>
      </c>
      <c r="D8" s="1">
        <v>22.16</v>
      </c>
      <c r="E8" s="1">
        <v>26.52</v>
      </c>
      <c r="F8" s="1">
        <v>42.48</v>
      </c>
      <c r="G8" s="1">
        <v>20.37</v>
      </c>
    </row>
    <row r="9" spans="1:7" x14ac:dyDescent="0.25">
      <c r="A9" s="1" t="s">
        <v>13</v>
      </c>
      <c r="B9" s="1">
        <v>-6.43</v>
      </c>
      <c r="C9" s="1">
        <v>13.57</v>
      </c>
      <c r="D9" s="1">
        <v>-80.73</v>
      </c>
      <c r="E9" s="1">
        <v>250.27</v>
      </c>
      <c r="F9" s="1">
        <v>-200.93</v>
      </c>
      <c r="G9" s="1">
        <v>51.44</v>
      </c>
    </row>
    <row r="10" spans="1:7" x14ac:dyDescent="0.25">
      <c r="A10" s="1" t="s">
        <v>14</v>
      </c>
      <c r="B10" s="1">
        <v>-0.64</v>
      </c>
      <c r="C10" s="1">
        <v>1.37</v>
      </c>
      <c r="D10" s="1">
        <v>-8.15</v>
      </c>
      <c r="E10" s="1">
        <v>25.28</v>
      </c>
      <c r="F10" s="1">
        <v>-20.3</v>
      </c>
      <c r="G10" s="1">
        <v>5.25</v>
      </c>
    </row>
    <row r="11" spans="1:7" x14ac:dyDescent="0.25">
      <c r="A11" s="1" t="s">
        <v>15</v>
      </c>
      <c r="B11" s="1">
        <v>3.5</v>
      </c>
      <c r="C11" s="1">
        <v>4.2300000000000004</v>
      </c>
      <c r="D11" s="1">
        <v>5.34</v>
      </c>
      <c r="E11" s="1">
        <v>241.56</v>
      </c>
      <c r="F11" s="1">
        <v>112.45</v>
      </c>
      <c r="G11" s="1">
        <v>14.72</v>
      </c>
    </row>
    <row r="12" spans="1:7" x14ac:dyDescent="0.25">
      <c r="A12" s="1" t="s">
        <v>16</v>
      </c>
      <c r="B12" s="1">
        <v>186.35</v>
      </c>
      <c r="C12" s="1">
        <v>171.29</v>
      </c>
      <c r="D12" s="1">
        <v>154.28</v>
      </c>
      <c r="E12" s="1">
        <v>202.34</v>
      </c>
      <c r="F12" s="1">
        <v>194.07</v>
      </c>
      <c r="G12" s="1">
        <v>178.79</v>
      </c>
    </row>
    <row r="13" spans="1:7" x14ac:dyDescent="0.25">
      <c r="A13" s="1" t="s">
        <v>17</v>
      </c>
      <c r="B13" s="1">
        <v>21.4</v>
      </c>
      <c r="C13" s="1">
        <v>20.190000000000001</v>
      </c>
      <c r="D13" s="1">
        <v>18.62</v>
      </c>
      <c r="E13" s="1">
        <v>9.86</v>
      </c>
      <c r="F13" s="1">
        <v>30.51</v>
      </c>
      <c r="G13" s="1">
        <v>5.81</v>
      </c>
    </row>
    <row r="14" spans="1:7" x14ac:dyDescent="0.25">
      <c r="A14" s="1" t="s">
        <v>18</v>
      </c>
      <c r="B14" s="1">
        <v>26.63</v>
      </c>
      <c r="C14" s="1">
        <v>28.53</v>
      </c>
      <c r="D14" s="1">
        <v>37.979999999999997</v>
      </c>
      <c r="E14" s="1">
        <v>48.71</v>
      </c>
      <c r="F14" s="1">
        <v>46.55</v>
      </c>
      <c r="G14" s="1">
        <v>11.4</v>
      </c>
    </row>
    <row r="15" spans="1:7" x14ac:dyDescent="0.25">
      <c r="A15" s="1" t="s">
        <v>19</v>
      </c>
      <c r="B15" s="1">
        <v>1</v>
      </c>
      <c r="C15" s="1">
        <v>1</v>
      </c>
      <c r="D15" s="1">
        <v>2</v>
      </c>
      <c r="E15" s="1">
        <v>1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30.7</v>
      </c>
      <c r="C17" s="1">
        <v>58.22</v>
      </c>
      <c r="D17" s="1">
        <v>69.319999999999993</v>
      </c>
      <c r="E17" s="1">
        <v>256.42</v>
      </c>
      <c r="F17" s="1">
        <v>109.82</v>
      </c>
      <c r="G17" s="1">
        <v>125.54</v>
      </c>
    </row>
    <row r="18" spans="1:7" x14ac:dyDescent="0.25">
      <c r="A18" s="1" t="s">
        <v>22</v>
      </c>
      <c r="B18" s="1">
        <v>37.130000000000003</v>
      </c>
      <c r="C18" s="1">
        <v>44.65</v>
      </c>
      <c r="D18" s="1">
        <v>150.05000000000001</v>
      </c>
      <c r="E18" s="1">
        <v>6.16</v>
      </c>
      <c r="F18" s="1">
        <v>310.75</v>
      </c>
      <c r="G18" s="1">
        <v>74.099999999999994</v>
      </c>
    </row>
    <row r="19" spans="1:7" x14ac:dyDescent="0.25">
      <c r="A19" s="1" t="s">
        <v>23</v>
      </c>
      <c r="B19" s="1">
        <v>1</v>
      </c>
      <c r="C19" s="1">
        <v>1</v>
      </c>
      <c r="D19" s="1">
        <v>3</v>
      </c>
      <c r="E19" s="1">
        <v>0</v>
      </c>
      <c r="F19" s="1">
        <v>4</v>
      </c>
      <c r="G19" s="1">
        <v>1</v>
      </c>
    </row>
    <row r="20" spans="1:7" x14ac:dyDescent="0.25">
      <c r="A20" s="1" t="s">
        <v>24</v>
      </c>
      <c r="B20" s="1">
        <v>1.8</v>
      </c>
      <c r="C20" s="1">
        <v>1.4</v>
      </c>
      <c r="D20" s="1">
        <v>5.5</v>
      </c>
      <c r="E20" s="1">
        <v>0</v>
      </c>
      <c r="F20" s="1">
        <v>7.3</v>
      </c>
      <c r="G20" s="1">
        <v>1.5</v>
      </c>
    </row>
    <row r="21" spans="1:7" x14ac:dyDescent="0.25">
      <c r="A21" s="1" t="s">
        <v>25</v>
      </c>
      <c r="B21" s="1">
        <v>8.3000000000000007</v>
      </c>
      <c r="C21" s="1">
        <v>8.6</v>
      </c>
      <c r="D21" s="1">
        <v>4.5</v>
      </c>
      <c r="E21" s="1">
        <v>10</v>
      </c>
      <c r="F21" s="1">
        <v>2.7</v>
      </c>
      <c r="G21" s="1">
        <v>8.4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1.6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8.5</v>
      </c>
      <c r="F25" s="1">
        <v>7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1.5</v>
      </c>
      <c r="F26" s="1">
        <v>1.4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85</v>
      </c>
      <c r="F30" s="3">
        <f t="shared" si="2"/>
        <v>70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15</v>
      </c>
      <c r="F31" s="3">
        <f t="shared" si="3"/>
        <v>13.999999999999998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7.0000000000000007E-2</v>
      </c>
      <c r="C33" s="3">
        <v>0.38</v>
      </c>
      <c r="D33" s="3">
        <v>-1.37</v>
      </c>
      <c r="E33" s="3">
        <v>27.09</v>
      </c>
      <c r="F33" s="3">
        <v>-10.76</v>
      </c>
      <c r="G33" s="3">
        <v>1.95</v>
      </c>
    </row>
    <row r="35" spans="1:7" x14ac:dyDescent="0.25">
      <c r="A35" s="3" t="s">
        <v>36</v>
      </c>
      <c r="B35" s="3"/>
      <c r="C35" s="3"/>
      <c r="D35" s="3">
        <f>D33-C33</f>
        <v>-1.75</v>
      </c>
      <c r="E35" s="3"/>
      <c r="F35" s="3">
        <f>F33-E33</f>
        <v>-37.85</v>
      </c>
      <c r="G35" s="3"/>
    </row>
    <row r="37" spans="1:7" x14ac:dyDescent="0.25">
      <c r="A37" s="3" t="s">
        <v>36</v>
      </c>
      <c r="B37" s="3"/>
      <c r="C37" s="3">
        <f>C33-B33</f>
        <v>0.31</v>
      </c>
      <c r="D37" s="3"/>
      <c r="E37" s="3">
        <f>E33-D33</f>
        <v>28.46</v>
      </c>
      <c r="F37" s="3"/>
      <c r="G37" s="3">
        <f>G33-F33</f>
        <v>12.709999999999999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DF90-E5C1-42C7-8F43-133AE8F20B11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372.78</v>
      </c>
      <c r="C2" s="1">
        <v>492.44</v>
      </c>
      <c r="D2" s="1">
        <v>497.69</v>
      </c>
      <c r="E2" s="1">
        <v>436.42</v>
      </c>
      <c r="F2" s="1">
        <v>464.52</v>
      </c>
      <c r="G2" s="1">
        <v>429.3</v>
      </c>
    </row>
    <row r="3" spans="1:7" x14ac:dyDescent="0.25">
      <c r="A3" s="1" t="s">
        <v>7</v>
      </c>
      <c r="B3" s="1">
        <v>37.25</v>
      </c>
      <c r="C3" s="1">
        <v>57.55</v>
      </c>
      <c r="D3" s="1">
        <v>61.65</v>
      </c>
      <c r="E3" s="1">
        <v>38.520000000000003</v>
      </c>
      <c r="F3" s="1">
        <v>41.55</v>
      </c>
      <c r="G3" s="1">
        <v>46.45</v>
      </c>
    </row>
    <row r="4" spans="1:7" x14ac:dyDescent="0.25">
      <c r="A4" s="1" t="s">
        <v>8</v>
      </c>
      <c r="B4" s="1">
        <v>14045.16</v>
      </c>
      <c r="C4" s="1">
        <v>28775.68</v>
      </c>
      <c r="D4" s="1">
        <v>31154.98</v>
      </c>
      <c r="E4" s="1">
        <v>17128.84</v>
      </c>
      <c r="F4" s="1">
        <v>19596.48</v>
      </c>
      <c r="G4" s="1">
        <v>20187.5</v>
      </c>
    </row>
    <row r="5" spans="1:7" x14ac:dyDescent="0.25">
      <c r="A5" s="1" t="s">
        <v>9</v>
      </c>
      <c r="B5" s="1">
        <v>324.73</v>
      </c>
      <c r="C5" s="1">
        <v>486.82</v>
      </c>
      <c r="D5" s="1">
        <v>832.83</v>
      </c>
      <c r="E5" s="1">
        <v>1511.94</v>
      </c>
      <c r="F5" s="1">
        <v>897.94</v>
      </c>
      <c r="G5" s="1">
        <v>514.72</v>
      </c>
    </row>
    <row r="6" spans="1:7" x14ac:dyDescent="0.25">
      <c r="A6" s="3" t="s">
        <v>10</v>
      </c>
      <c r="B6" s="3">
        <v>32.47</v>
      </c>
      <c r="C6" s="3">
        <v>49.17</v>
      </c>
      <c r="D6" s="3">
        <v>84.12</v>
      </c>
      <c r="E6" s="3">
        <v>152.72</v>
      </c>
      <c r="F6" s="3">
        <v>90.7</v>
      </c>
      <c r="G6" s="3">
        <v>52.52</v>
      </c>
    </row>
    <row r="7" spans="1:7" x14ac:dyDescent="0.25">
      <c r="A7" s="1" t="s">
        <v>11</v>
      </c>
      <c r="B7" s="1">
        <v>309.47000000000003</v>
      </c>
      <c r="C7" s="1">
        <v>454.38</v>
      </c>
      <c r="D7" s="1">
        <v>709.58</v>
      </c>
      <c r="E7" s="1">
        <v>1378.77</v>
      </c>
      <c r="F7" s="1">
        <v>806.84</v>
      </c>
      <c r="G7" s="1">
        <v>455.9</v>
      </c>
    </row>
    <row r="8" spans="1:7" x14ac:dyDescent="0.25">
      <c r="A8" s="1" t="s">
        <v>12</v>
      </c>
      <c r="B8" s="1">
        <v>30.95</v>
      </c>
      <c r="C8" s="1">
        <v>45.9</v>
      </c>
      <c r="D8" s="1">
        <v>71.67</v>
      </c>
      <c r="E8" s="1">
        <v>139.27000000000001</v>
      </c>
      <c r="F8" s="1">
        <v>81.5</v>
      </c>
      <c r="G8" s="1">
        <v>46.52</v>
      </c>
    </row>
    <row r="9" spans="1:7" x14ac:dyDescent="0.25">
      <c r="A9" s="1" t="s">
        <v>13</v>
      </c>
      <c r="B9" s="1">
        <v>110.55</v>
      </c>
      <c r="C9" s="1">
        <v>145.04</v>
      </c>
      <c r="D9" s="1">
        <v>542.45000000000005</v>
      </c>
      <c r="E9" s="1">
        <v>1377.41</v>
      </c>
      <c r="F9" s="1">
        <v>-278.54000000000002</v>
      </c>
      <c r="G9" s="1">
        <v>-109.39</v>
      </c>
    </row>
    <row r="10" spans="1:7" x14ac:dyDescent="0.25">
      <c r="A10" s="1" t="s">
        <v>14</v>
      </c>
      <c r="B10" s="1">
        <v>11.05</v>
      </c>
      <c r="C10" s="1">
        <v>14.65</v>
      </c>
      <c r="D10" s="1">
        <v>54.79</v>
      </c>
      <c r="E10" s="1">
        <v>139.13</v>
      </c>
      <c r="F10" s="1">
        <v>-28.14</v>
      </c>
      <c r="G10" s="1">
        <v>-11.16</v>
      </c>
    </row>
    <row r="11" spans="1:7" x14ac:dyDescent="0.25">
      <c r="A11" s="1" t="s">
        <v>15</v>
      </c>
      <c r="B11" s="1">
        <v>5.44</v>
      </c>
      <c r="C11" s="1">
        <v>68.73</v>
      </c>
      <c r="D11" s="1">
        <v>364.39</v>
      </c>
      <c r="E11" s="1">
        <v>1251.71</v>
      </c>
      <c r="F11" s="1">
        <v>179.59</v>
      </c>
      <c r="G11" s="1">
        <v>48.37</v>
      </c>
    </row>
    <row r="12" spans="1:7" x14ac:dyDescent="0.25">
      <c r="A12" s="1" t="s">
        <v>16</v>
      </c>
      <c r="B12" s="1">
        <v>182.83</v>
      </c>
      <c r="C12" s="1">
        <v>189.72</v>
      </c>
      <c r="D12" s="1">
        <v>225.53</v>
      </c>
      <c r="E12" s="1">
        <v>227.58</v>
      </c>
      <c r="F12" s="1">
        <v>225.04</v>
      </c>
      <c r="G12" s="1">
        <v>192.46</v>
      </c>
    </row>
    <row r="13" spans="1:7" x14ac:dyDescent="0.25">
      <c r="A13" s="1" t="s">
        <v>17</v>
      </c>
      <c r="B13" s="1">
        <v>6.37</v>
      </c>
      <c r="C13" s="1">
        <v>25.97</v>
      </c>
      <c r="D13" s="1">
        <v>36.049999999999997</v>
      </c>
      <c r="E13" s="1">
        <v>27.45</v>
      </c>
      <c r="F13" s="1">
        <v>30.17</v>
      </c>
      <c r="G13" s="1">
        <v>32.57</v>
      </c>
    </row>
    <row r="14" spans="1:7" x14ac:dyDescent="0.25">
      <c r="A14" s="1" t="s">
        <v>18</v>
      </c>
      <c r="B14" s="1">
        <v>24.03</v>
      </c>
      <c r="C14" s="1">
        <v>54.7</v>
      </c>
      <c r="D14" s="1">
        <v>85.76</v>
      </c>
      <c r="E14" s="1">
        <v>67.05</v>
      </c>
      <c r="F14" s="1">
        <v>68.88</v>
      </c>
      <c r="G14" s="1">
        <v>71.38</v>
      </c>
    </row>
    <row r="15" spans="1:7" x14ac:dyDescent="0.25">
      <c r="A15" s="1" t="s">
        <v>19</v>
      </c>
      <c r="B15" s="1">
        <v>2</v>
      </c>
      <c r="C15" s="1">
        <v>3</v>
      </c>
      <c r="D15" s="1">
        <v>5</v>
      </c>
      <c r="E15" s="1">
        <v>5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210.01</v>
      </c>
      <c r="C17" s="1">
        <v>299.70999999999998</v>
      </c>
      <c r="D17" s="1">
        <v>626.02</v>
      </c>
      <c r="E17" s="1">
        <v>1378.09</v>
      </c>
      <c r="F17" s="1">
        <v>264.14999999999998</v>
      </c>
      <c r="G17" s="1">
        <v>173.25</v>
      </c>
    </row>
    <row r="18" spans="1:7" x14ac:dyDescent="0.25">
      <c r="A18" s="1" t="s">
        <v>22</v>
      </c>
      <c r="B18" s="1">
        <v>99.46</v>
      </c>
      <c r="C18" s="1">
        <v>154.66999999999999</v>
      </c>
      <c r="D18" s="1">
        <v>83.56</v>
      </c>
      <c r="E18" s="1">
        <v>0.68</v>
      </c>
      <c r="F18" s="1">
        <v>542.69000000000005</v>
      </c>
      <c r="G18" s="1">
        <v>282.64</v>
      </c>
    </row>
    <row r="19" spans="1:7" x14ac:dyDescent="0.25">
      <c r="A19" s="1" t="s">
        <v>23</v>
      </c>
      <c r="B19" s="1">
        <v>3</v>
      </c>
      <c r="C19" s="1">
        <v>1</v>
      </c>
      <c r="D19" s="1">
        <v>1</v>
      </c>
      <c r="E19" s="1">
        <v>0</v>
      </c>
      <c r="F19" s="1">
        <v>3</v>
      </c>
      <c r="G19" s="1">
        <v>1</v>
      </c>
    </row>
    <row r="20" spans="1:7" x14ac:dyDescent="0.25">
      <c r="A20" s="1" t="s">
        <v>24</v>
      </c>
      <c r="B20" s="1">
        <v>6.3</v>
      </c>
      <c r="C20" s="1">
        <v>3.1</v>
      </c>
      <c r="D20" s="1">
        <v>1</v>
      </c>
      <c r="E20" s="1">
        <v>0</v>
      </c>
      <c r="F20" s="1">
        <v>6</v>
      </c>
      <c r="G20" s="1">
        <v>2.5</v>
      </c>
    </row>
    <row r="21" spans="1:7" x14ac:dyDescent="0.25">
      <c r="A21" s="1" t="s">
        <v>25</v>
      </c>
      <c r="B21" s="1">
        <v>3.8</v>
      </c>
      <c r="C21" s="1">
        <v>6.9</v>
      </c>
      <c r="D21" s="1">
        <v>9</v>
      </c>
      <c r="E21" s="1">
        <v>10</v>
      </c>
      <c r="F21" s="1">
        <v>4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1.8</v>
      </c>
      <c r="D24" s="1">
        <v>0</v>
      </c>
      <c r="E24" s="1">
        <v>0</v>
      </c>
      <c r="F24" s="1">
        <v>5.9</v>
      </c>
      <c r="G24" s="1">
        <v>2.2000000000000002</v>
      </c>
    </row>
    <row r="25" spans="1:7" x14ac:dyDescent="0.25">
      <c r="A25" s="1" t="s">
        <v>29</v>
      </c>
      <c r="B25" s="1">
        <v>8.9</v>
      </c>
      <c r="C25" s="1">
        <v>4.4000000000000004</v>
      </c>
      <c r="D25" s="1">
        <v>1.8</v>
      </c>
      <c r="E25" s="1">
        <v>0</v>
      </c>
      <c r="F25" s="1">
        <v>1.1000000000000001</v>
      </c>
      <c r="G25" s="1">
        <v>7.7</v>
      </c>
    </row>
    <row r="26" spans="1:7" x14ac:dyDescent="0.25">
      <c r="A26" s="1" t="s">
        <v>30</v>
      </c>
      <c r="B26" s="1">
        <v>1.2</v>
      </c>
      <c r="C26" s="1">
        <v>3.8</v>
      </c>
      <c r="D26" s="1">
        <v>8.1999999999999993</v>
      </c>
      <c r="E26" s="1">
        <v>10</v>
      </c>
      <c r="F26" s="1">
        <v>3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18</v>
      </c>
      <c r="D29" s="3">
        <f t="shared" si="1"/>
        <v>0</v>
      </c>
      <c r="E29" s="3">
        <f t="shared" si="1"/>
        <v>0</v>
      </c>
      <c r="F29" s="3">
        <f t="shared" si="1"/>
        <v>59.000000000000007</v>
      </c>
      <c r="G29" s="3">
        <f t="shared" si="1"/>
        <v>22.222222222222225</v>
      </c>
    </row>
    <row r="30" spans="1:7" x14ac:dyDescent="0.25">
      <c r="A30" s="3" t="s">
        <v>33</v>
      </c>
      <c r="B30" s="3">
        <f>B25/B28*100</f>
        <v>88.118811881188137</v>
      </c>
      <c r="C30" s="3">
        <f t="shared" ref="C30:G30" si="2">C25/C28*100</f>
        <v>44.000000000000007</v>
      </c>
      <c r="D30" s="3">
        <f t="shared" si="2"/>
        <v>18</v>
      </c>
      <c r="E30" s="3">
        <f t="shared" si="2"/>
        <v>0</v>
      </c>
      <c r="F30" s="3">
        <f t="shared" si="2"/>
        <v>11.000000000000002</v>
      </c>
      <c r="G30" s="3">
        <f t="shared" si="2"/>
        <v>77.777777777777786</v>
      </c>
    </row>
    <row r="31" spans="1:7" x14ac:dyDescent="0.25">
      <c r="A31" s="3" t="s">
        <v>34</v>
      </c>
      <c r="B31" s="3">
        <f>B26/B28*100</f>
        <v>11.881188118811881</v>
      </c>
      <c r="C31" s="3">
        <f t="shared" ref="C31:G31" si="3">C26/C28*100</f>
        <v>38</v>
      </c>
      <c r="D31" s="3">
        <f t="shared" si="3"/>
        <v>82</v>
      </c>
      <c r="E31" s="3">
        <f t="shared" si="3"/>
        <v>100</v>
      </c>
      <c r="F31" s="3">
        <f t="shared" si="3"/>
        <v>30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0.25</v>
      </c>
      <c r="C33" s="3">
        <v>9.25</v>
      </c>
      <c r="D33" s="3">
        <v>63.74</v>
      </c>
      <c r="E33" s="3">
        <v>149.15</v>
      </c>
      <c r="F33" s="3">
        <v>-16.7</v>
      </c>
      <c r="G33" s="3">
        <v>-0.09</v>
      </c>
    </row>
    <row r="35" spans="1:7" x14ac:dyDescent="0.25">
      <c r="A35" s="3" t="s">
        <v>36</v>
      </c>
      <c r="B35" s="3"/>
      <c r="C35" s="3"/>
      <c r="D35" s="3">
        <f>D33-C33</f>
        <v>54.49</v>
      </c>
      <c r="E35" s="3"/>
      <c r="F35" s="3">
        <f>F33-E33</f>
        <v>-165.85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85.41</v>
      </c>
      <c r="F37" s="3"/>
      <c r="G37" s="3">
        <f>G33-F33</f>
        <v>16.61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01CD-091F-4B77-A89A-1293A0C57833}">
  <dimension ref="A1:G37"/>
  <sheetViews>
    <sheetView tabSelected="1" topLeftCell="A10" workbookViewId="0">
      <selection activeCell="L39" sqref="L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403.67</v>
      </c>
      <c r="C2" s="1">
        <v>374.12</v>
      </c>
      <c r="D2" s="1">
        <v>333.27</v>
      </c>
      <c r="E2" s="1">
        <v>355.84</v>
      </c>
      <c r="F2" s="1">
        <v>367.92</v>
      </c>
      <c r="G2" s="1">
        <v>403.65</v>
      </c>
    </row>
    <row r="3" spans="1:7" x14ac:dyDescent="0.25">
      <c r="A3" s="1" t="s">
        <v>7</v>
      </c>
      <c r="B3" s="1">
        <v>39.299999999999997</v>
      </c>
      <c r="C3" s="1">
        <v>39.54</v>
      </c>
      <c r="D3" s="1">
        <v>40.270000000000003</v>
      </c>
      <c r="E3" s="1">
        <v>36.29</v>
      </c>
      <c r="F3" s="1">
        <v>40.67</v>
      </c>
      <c r="G3" s="1">
        <v>34.409999999999997</v>
      </c>
    </row>
    <row r="4" spans="1:7" x14ac:dyDescent="0.25">
      <c r="A4" s="1" t="s">
        <v>8</v>
      </c>
      <c r="B4" s="1">
        <v>16143.32</v>
      </c>
      <c r="C4" s="1">
        <v>15073.65</v>
      </c>
      <c r="D4" s="1">
        <v>13681.28</v>
      </c>
      <c r="E4" s="1">
        <v>13232.84</v>
      </c>
      <c r="F4" s="1">
        <v>15199.15</v>
      </c>
      <c r="G4" s="1">
        <v>14150.06</v>
      </c>
    </row>
    <row r="5" spans="1:7" x14ac:dyDescent="0.25">
      <c r="A5" s="1" t="s">
        <v>9</v>
      </c>
      <c r="B5" s="1">
        <v>257.72000000000003</v>
      </c>
      <c r="C5" s="1">
        <v>206.21</v>
      </c>
      <c r="D5" s="1">
        <v>271.83</v>
      </c>
      <c r="E5" s="1">
        <v>508.01</v>
      </c>
      <c r="F5" s="1">
        <v>287.13</v>
      </c>
      <c r="G5" s="1">
        <v>623.54</v>
      </c>
    </row>
    <row r="6" spans="1:7" x14ac:dyDescent="0.25">
      <c r="A6" s="3" t="s">
        <v>10</v>
      </c>
      <c r="B6" s="3">
        <v>25.77</v>
      </c>
      <c r="C6" s="3">
        <v>20.83</v>
      </c>
      <c r="D6" s="3">
        <v>27.46</v>
      </c>
      <c r="E6" s="3">
        <v>51.31</v>
      </c>
      <c r="F6" s="3">
        <v>29</v>
      </c>
      <c r="G6" s="3">
        <v>63.63</v>
      </c>
    </row>
    <row r="7" spans="1:7" x14ac:dyDescent="0.25">
      <c r="A7" s="1" t="s">
        <v>11</v>
      </c>
      <c r="B7" s="1">
        <v>246.52</v>
      </c>
      <c r="C7" s="1">
        <v>195.4</v>
      </c>
      <c r="D7" s="1">
        <v>252.5</v>
      </c>
      <c r="E7" s="1">
        <v>394.33</v>
      </c>
      <c r="F7" s="1">
        <v>268.44</v>
      </c>
      <c r="G7" s="1">
        <v>593.35</v>
      </c>
    </row>
    <row r="8" spans="1:7" x14ac:dyDescent="0.25">
      <c r="A8" s="1" t="s">
        <v>12</v>
      </c>
      <c r="B8" s="1">
        <v>24.65</v>
      </c>
      <c r="C8" s="1">
        <v>19.739999999999998</v>
      </c>
      <c r="D8" s="1">
        <v>25.51</v>
      </c>
      <c r="E8" s="1">
        <v>39.83</v>
      </c>
      <c r="F8" s="1">
        <v>27.12</v>
      </c>
      <c r="G8" s="1">
        <v>60.55</v>
      </c>
    </row>
    <row r="9" spans="1:7" x14ac:dyDescent="0.25">
      <c r="A9" s="1" t="s">
        <v>13</v>
      </c>
      <c r="B9" s="1">
        <v>59.96</v>
      </c>
      <c r="C9" s="1">
        <v>-58.34</v>
      </c>
      <c r="D9" s="1">
        <v>72.459999999999994</v>
      </c>
      <c r="E9" s="1">
        <v>159.57</v>
      </c>
      <c r="F9" s="1">
        <v>152.68</v>
      </c>
      <c r="G9" s="1">
        <v>131.82</v>
      </c>
    </row>
    <row r="10" spans="1:7" x14ac:dyDescent="0.25">
      <c r="A10" s="1" t="s">
        <v>14</v>
      </c>
      <c r="B10" s="1">
        <v>6</v>
      </c>
      <c r="C10" s="1">
        <v>-5.89</v>
      </c>
      <c r="D10" s="1">
        <v>7.32</v>
      </c>
      <c r="E10" s="1">
        <v>16.12</v>
      </c>
      <c r="F10" s="1">
        <v>15.42</v>
      </c>
      <c r="G10" s="1">
        <v>13.45</v>
      </c>
    </row>
    <row r="11" spans="1:7" x14ac:dyDescent="0.25">
      <c r="A11" s="1" t="s">
        <v>15</v>
      </c>
      <c r="B11" s="1">
        <v>8.75</v>
      </c>
      <c r="C11" s="1">
        <v>27.77</v>
      </c>
      <c r="D11" s="1">
        <v>14.01</v>
      </c>
      <c r="E11" s="1">
        <v>86.81</v>
      </c>
      <c r="F11" s="1">
        <v>150.11000000000001</v>
      </c>
      <c r="G11" s="1">
        <v>93.1</v>
      </c>
    </row>
    <row r="12" spans="1:7" x14ac:dyDescent="0.25">
      <c r="A12" s="1" t="s">
        <v>16</v>
      </c>
      <c r="B12" s="1">
        <v>184.4</v>
      </c>
      <c r="C12" s="1">
        <v>189.93</v>
      </c>
      <c r="D12" s="1">
        <v>166.45</v>
      </c>
      <c r="E12" s="1">
        <v>148.6</v>
      </c>
      <c r="F12" s="1">
        <v>177.96</v>
      </c>
      <c r="G12" s="1">
        <v>226.22</v>
      </c>
    </row>
    <row r="13" spans="1:7" x14ac:dyDescent="0.25">
      <c r="A13" s="1" t="s">
        <v>17</v>
      </c>
      <c r="B13" s="1">
        <v>13.06</v>
      </c>
      <c r="C13" s="1">
        <v>26.88</v>
      </c>
      <c r="D13" s="1">
        <v>16.86</v>
      </c>
      <c r="E13" s="1">
        <v>36.119999999999997</v>
      </c>
      <c r="F13" s="1">
        <v>15.29</v>
      </c>
      <c r="G13" s="1">
        <v>10.81</v>
      </c>
    </row>
    <row r="14" spans="1:7" x14ac:dyDescent="0.25">
      <c r="A14" s="1" t="s">
        <v>18</v>
      </c>
      <c r="B14" s="1">
        <v>41.21</v>
      </c>
      <c r="C14" s="1">
        <v>37.35</v>
      </c>
      <c r="D14" s="1">
        <v>40.98</v>
      </c>
      <c r="E14" s="1">
        <v>88.92</v>
      </c>
      <c r="F14" s="1">
        <v>26.96</v>
      </c>
      <c r="G14" s="1">
        <v>25.43</v>
      </c>
    </row>
    <row r="15" spans="1:7" x14ac:dyDescent="0.25">
      <c r="A15" s="1" t="s">
        <v>19</v>
      </c>
      <c r="B15" s="1">
        <v>1</v>
      </c>
      <c r="C15" s="1">
        <v>1</v>
      </c>
      <c r="D15" s="1">
        <v>4</v>
      </c>
      <c r="E15" s="1">
        <v>5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153.24</v>
      </c>
      <c r="C17" s="1">
        <v>68.53</v>
      </c>
      <c r="D17" s="1">
        <v>162.47999999999999</v>
      </c>
      <c r="E17" s="1">
        <v>276.95</v>
      </c>
      <c r="F17" s="1">
        <v>210.56</v>
      </c>
      <c r="G17" s="1">
        <v>362.59</v>
      </c>
    </row>
    <row r="18" spans="1:7" x14ac:dyDescent="0.25">
      <c r="A18" s="1" t="s">
        <v>22</v>
      </c>
      <c r="B18" s="1">
        <v>93.28</v>
      </c>
      <c r="C18" s="1">
        <v>126.87</v>
      </c>
      <c r="D18" s="1">
        <v>90.02</v>
      </c>
      <c r="E18" s="1">
        <v>117.38</v>
      </c>
      <c r="F18" s="1">
        <v>57.88</v>
      </c>
      <c r="G18" s="1">
        <v>230.76</v>
      </c>
    </row>
    <row r="19" spans="1:7" x14ac:dyDescent="0.25">
      <c r="A19" s="1" t="s">
        <v>23</v>
      </c>
      <c r="B19" s="1">
        <v>1</v>
      </c>
      <c r="C19" s="1">
        <v>3</v>
      </c>
      <c r="D19" s="1">
        <v>3</v>
      </c>
      <c r="E19" s="1">
        <v>3</v>
      </c>
      <c r="F19" s="1">
        <v>0</v>
      </c>
      <c r="G19" s="1">
        <v>1</v>
      </c>
    </row>
    <row r="20" spans="1:7" x14ac:dyDescent="0.25">
      <c r="A20" s="1" t="s">
        <v>24</v>
      </c>
      <c r="B20" s="1">
        <v>1.4</v>
      </c>
      <c r="C20" s="1">
        <v>5.8</v>
      </c>
      <c r="D20" s="1">
        <v>4.7</v>
      </c>
      <c r="E20" s="1">
        <v>3.5</v>
      </c>
      <c r="F20" s="1">
        <v>0</v>
      </c>
      <c r="G20" s="1">
        <v>1.2</v>
      </c>
    </row>
    <row r="21" spans="1:7" x14ac:dyDescent="0.25">
      <c r="A21" s="1" t="s">
        <v>25</v>
      </c>
      <c r="B21" s="1">
        <v>8.6999999999999993</v>
      </c>
      <c r="C21" s="1">
        <v>4.2</v>
      </c>
      <c r="D21" s="1">
        <v>5.3</v>
      </c>
      <c r="E21" s="1">
        <v>6.5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7.5</v>
      </c>
      <c r="E25" s="1">
        <v>7.6</v>
      </c>
      <c r="F25" s="1">
        <v>7.6</v>
      </c>
      <c r="G25" s="1">
        <v>8.1999999999999993</v>
      </c>
    </row>
    <row r="26" spans="1:7" x14ac:dyDescent="0.25">
      <c r="A26" s="1" t="s">
        <v>30</v>
      </c>
      <c r="B26" s="1">
        <v>0</v>
      </c>
      <c r="C26" s="1">
        <v>0</v>
      </c>
      <c r="D26" s="1">
        <v>1.5</v>
      </c>
      <c r="E26" s="1">
        <v>2.4</v>
      </c>
      <c r="F26" s="1">
        <v>2.4</v>
      </c>
      <c r="G26" s="1">
        <v>1.7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75</v>
      </c>
      <c r="E30" s="3">
        <f t="shared" si="2"/>
        <v>76</v>
      </c>
      <c r="F30" s="3">
        <f t="shared" si="2"/>
        <v>76</v>
      </c>
      <c r="G30" s="3">
        <f t="shared" si="2"/>
        <v>82.828282828282823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15</v>
      </c>
      <c r="E31" s="3">
        <f t="shared" si="3"/>
        <v>24</v>
      </c>
      <c r="F31" s="3">
        <f t="shared" si="3"/>
        <v>24</v>
      </c>
      <c r="G31" s="3">
        <f t="shared" si="3"/>
        <v>17.171717171717173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1.88</v>
      </c>
      <c r="C33" s="3">
        <v>-3.2</v>
      </c>
      <c r="D33" s="3">
        <v>0.7</v>
      </c>
      <c r="E33" s="3">
        <v>14.88</v>
      </c>
      <c r="F33" s="3">
        <v>17.670000000000002</v>
      </c>
      <c r="G33" s="3">
        <v>7.59</v>
      </c>
    </row>
    <row r="35" spans="1:7" x14ac:dyDescent="0.25">
      <c r="A35" s="3" t="s">
        <v>36</v>
      </c>
      <c r="B35" s="3"/>
      <c r="C35" s="3"/>
      <c r="D35" s="3">
        <f>D33-C33</f>
        <v>3.9000000000000004</v>
      </c>
      <c r="E35" s="3"/>
      <c r="F35" s="3">
        <f>F33-E33</f>
        <v>2.7900000000000009</v>
      </c>
      <c r="G35" s="3"/>
    </row>
    <row r="37" spans="1:7" x14ac:dyDescent="0.25">
      <c r="A37" s="3" t="s">
        <v>36</v>
      </c>
      <c r="B37" s="3"/>
      <c r="C37" s="3">
        <f>C33-B33</f>
        <v>-5.08</v>
      </c>
      <c r="D37" s="3"/>
      <c r="E37" s="3">
        <f>E33-D33</f>
        <v>14.180000000000001</v>
      </c>
      <c r="F37" s="3"/>
      <c r="G37" s="3">
        <f>G33-F33</f>
        <v>-10.080000000000002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B468-B13B-43C4-81B4-D48949ECCC28}">
  <dimension ref="A1:G37"/>
  <sheetViews>
    <sheetView workbookViewId="0">
      <selection activeCell="D16" sqref="D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231219C001.2</vt:lpstr>
      <vt:lpstr>231219C001.4</vt:lpstr>
      <vt:lpstr>231219C001.5</vt:lpstr>
      <vt:lpstr>231219C002.1</vt:lpstr>
      <vt:lpstr>231219C002.2</vt:lpstr>
      <vt:lpstr>231219C003.2</vt:lpstr>
      <vt:lpstr>231219C003.4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2024-01-03T00:23:34Z</dcterms:created>
  <dcterms:modified xsi:type="dcterms:W3CDTF">2024-01-08T20:59:50Z</dcterms:modified>
</cp:coreProperties>
</file>