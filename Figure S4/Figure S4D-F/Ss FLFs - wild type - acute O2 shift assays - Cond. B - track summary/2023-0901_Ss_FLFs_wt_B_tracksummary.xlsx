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stercoralis\FLFs\wild-type\2023-0901\WormLab Data\"/>
    </mc:Choice>
  </mc:AlternateContent>
  <xr:revisionPtr revIDLastSave="0" documentId="13_ncr:1_{5F7566ED-4772-4704-A6E2-EC3BF5F39769}" xr6:coauthVersionLast="36" xr6:coauthVersionMax="36" xr10:uidLastSave="{00000000-0000-0000-0000-000000000000}"/>
  <bookViews>
    <workbookView xWindow="0" yWindow="0" windowWidth="25755" windowHeight="11640" activeTab="5" xr2:uid="{5DDC5E1E-61BF-4F7E-ACD8-ABFE662DDE57}"/>
  </bookViews>
  <sheets>
    <sheet name="230901B001.1" sheetId="2" r:id="rId1"/>
    <sheet name="230901B001.2" sheetId="3" r:id="rId2"/>
    <sheet name="230901B001.3" sheetId="4" r:id="rId3"/>
    <sheet name="230901B002.1" sheetId="5" r:id="rId4"/>
    <sheet name="230901B002.2" sheetId="6" r:id="rId5"/>
    <sheet name="230901B002.3" sheetId="7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7" l="1"/>
  <c r="E37" i="7"/>
  <c r="C37" i="7"/>
  <c r="F35" i="7"/>
  <c r="D35" i="7"/>
  <c r="G31" i="7"/>
  <c r="F31" i="7"/>
  <c r="E31" i="7"/>
  <c r="B31" i="7"/>
  <c r="G30" i="7"/>
  <c r="F30" i="7"/>
  <c r="E30" i="7"/>
  <c r="D30" i="7"/>
  <c r="C30" i="7"/>
  <c r="B30" i="7"/>
  <c r="G29" i="7"/>
  <c r="F29" i="7"/>
  <c r="E29" i="7"/>
  <c r="D29" i="7"/>
  <c r="C29" i="7"/>
  <c r="G28" i="7"/>
  <c r="F28" i="7"/>
  <c r="E28" i="7"/>
  <c r="D28" i="7"/>
  <c r="D31" i="7" s="1"/>
  <c r="C28" i="7"/>
  <c r="C31" i="7" s="1"/>
  <c r="B28" i="7"/>
  <c r="B29" i="7" s="1"/>
  <c r="G37" i="6"/>
  <c r="E37" i="6"/>
  <c r="C37" i="6"/>
  <c r="F35" i="6"/>
  <c r="D35" i="6"/>
  <c r="E31" i="6"/>
  <c r="D31" i="6"/>
  <c r="C31" i="6"/>
  <c r="E30" i="6"/>
  <c r="D30" i="6"/>
  <c r="C30" i="6"/>
  <c r="B30" i="6"/>
  <c r="E29" i="6"/>
  <c r="G28" i="6"/>
  <c r="G30" i="6" s="1"/>
  <c r="F28" i="6"/>
  <c r="F31" i="6" s="1"/>
  <c r="E28" i="6"/>
  <c r="D28" i="6"/>
  <c r="D29" i="6" s="1"/>
  <c r="C28" i="6"/>
  <c r="C29" i="6" s="1"/>
  <c r="B28" i="6"/>
  <c r="B29" i="6" s="1"/>
  <c r="G37" i="5"/>
  <c r="E37" i="5"/>
  <c r="C37" i="5"/>
  <c r="F35" i="5"/>
  <c r="D35" i="5"/>
  <c r="D31" i="5"/>
  <c r="C31" i="5"/>
  <c r="B31" i="5"/>
  <c r="D30" i="5"/>
  <c r="C30" i="5"/>
  <c r="B30" i="5"/>
  <c r="G28" i="5"/>
  <c r="G29" i="5" s="1"/>
  <c r="F28" i="5"/>
  <c r="F29" i="5" s="1"/>
  <c r="E28" i="5"/>
  <c r="E29" i="5" s="1"/>
  <c r="D28" i="5"/>
  <c r="D29" i="5" s="1"/>
  <c r="C28" i="5"/>
  <c r="C29" i="5" s="1"/>
  <c r="B28" i="5"/>
  <c r="B29" i="5" s="1"/>
  <c r="G37" i="4"/>
  <c r="E37" i="4"/>
  <c r="C37" i="4"/>
  <c r="F35" i="4"/>
  <c r="D35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G28" i="4"/>
  <c r="F28" i="4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G28" i="3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31" i="2"/>
  <c r="F31" i="2"/>
  <c r="E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G28" i="2"/>
  <c r="F28" i="2"/>
  <c r="E28" i="2"/>
  <c r="D28" i="2"/>
  <c r="D31" i="2" s="1"/>
  <c r="C28" i="2"/>
  <c r="B28" i="2"/>
  <c r="B29" i="2" s="1"/>
  <c r="G29" i="6" l="1"/>
  <c r="G31" i="6"/>
  <c r="F29" i="6"/>
  <c r="F30" i="6"/>
  <c r="B31" i="6"/>
  <c r="F31" i="5"/>
  <c r="E30" i="5"/>
  <c r="G30" i="5"/>
  <c r="E31" i="5"/>
  <c r="F30" i="5"/>
  <c r="G31" i="5"/>
  <c r="G37" i="1"/>
  <c r="E37" i="1"/>
  <c r="C37" i="1"/>
  <c r="F35" i="1"/>
  <c r="D35" i="1"/>
  <c r="G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G28" i="1"/>
  <c r="F28" i="1"/>
  <c r="F31" i="1" s="1"/>
  <c r="E28" i="1"/>
  <c r="D28" i="1"/>
  <c r="D29" i="1" s="1"/>
  <c r="C28" i="1"/>
  <c r="C29" i="1" s="1"/>
  <c r="B28" i="1"/>
  <c r="B29" i="1" s="1"/>
</calcChain>
</file>

<file path=xl/sharedStrings.xml><?xml version="1.0" encoding="utf-8"?>
<sst xmlns="http://schemas.openxmlformats.org/spreadsheetml/2006/main" count="266" uniqueCount="37">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</sst>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2CC2-BA67-42D2-A597-F45C3C515F31}">
  <dimension ref="A1:G37"/>
  <sheetViews>
    <sheetView topLeftCell="A4" workbookViewId="0">
      <selection activeCell="J30" sqref="J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820.69</v>
      </c>
      <c r="C2" s="1">
        <v>845.59</v>
      </c>
      <c r="D2" s="1">
        <v>871.21</v>
      </c>
      <c r="E2" s="1">
        <v>837.79</v>
      </c>
      <c r="F2" s="1">
        <v>708.51</v>
      </c>
      <c r="G2" s="1">
        <v>822.23</v>
      </c>
    </row>
    <row r="3" spans="1:7" x14ac:dyDescent="0.25">
      <c r="A3" s="1" t="s">
        <v>7</v>
      </c>
      <c r="B3" s="1">
        <v>56.66</v>
      </c>
      <c r="C3" s="1">
        <v>62.05</v>
      </c>
      <c r="D3" s="1">
        <v>66.69</v>
      </c>
      <c r="E3" s="1">
        <v>66.91</v>
      </c>
      <c r="F3" s="1">
        <v>71.84</v>
      </c>
      <c r="G3" s="1">
        <v>55.58</v>
      </c>
    </row>
    <row r="4" spans="1:7" x14ac:dyDescent="0.25">
      <c r="A4" s="1" t="s">
        <v>8</v>
      </c>
      <c r="B4" s="1">
        <v>47263.08</v>
      </c>
      <c r="C4" s="1">
        <v>53338.77</v>
      </c>
      <c r="D4" s="1">
        <v>59089.7</v>
      </c>
      <c r="E4" s="1">
        <v>57016.25</v>
      </c>
      <c r="F4" s="1">
        <v>51421.51</v>
      </c>
      <c r="G4" s="1">
        <v>46456.800000000003</v>
      </c>
    </row>
    <row r="5" spans="1:7" x14ac:dyDescent="0.25">
      <c r="A5" s="1" t="s">
        <v>9</v>
      </c>
      <c r="B5" s="1">
        <v>1188.75</v>
      </c>
      <c r="C5" s="1">
        <v>1370.49</v>
      </c>
      <c r="D5" s="1">
        <v>838.26</v>
      </c>
      <c r="E5" s="1">
        <v>725.36</v>
      </c>
      <c r="F5" s="1">
        <v>998.48</v>
      </c>
      <c r="G5" s="1">
        <v>1248.28</v>
      </c>
    </row>
    <row r="6" spans="1:7" x14ac:dyDescent="0.25">
      <c r="A6" s="3" t="s">
        <v>10</v>
      </c>
      <c r="B6" s="3">
        <v>118.87</v>
      </c>
      <c r="C6" s="3">
        <v>138.43</v>
      </c>
      <c r="D6" s="3">
        <v>84.67</v>
      </c>
      <c r="E6" s="3">
        <v>73.27</v>
      </c>
      <c r="F6" s="3">
        <v>100.86</v>
      </c>
      <c r="G6" s="3">
        <v>127.38</v>
      </c>
    </row>
    <row r="7" spans="1:7" x14ac:dyDescent="0.25">
      <c r="A7" s="1" t="s">
        <v>11</v>
      </c>
      <c r="B7" s="1">
        <v>1144.97</v>
      </c>
      <c r="C7" s="1">
        <v>1325.53</v>
      </c>
      <c r="D7" s="1">
        <v>817.11</v>
      </c>
      <c r="E7" s="1">
        <v>712.3</v>
      </c>
      <c r="F7" s="1">
        <v>938.32</v>
      </c>
      <c r="G7" s="1">
        <v>1218.82</v>
      </c>
    </row>
    <row r="8" spans="1:7" x14ac:dyDescent="0.25">
      <c r="A8" s="1" t="s">
        <v>12</v>
      </c>
      <c r="B8" s="1">
        <v>114.5</v>
      </c>
      <c r="C8" s="1">
        <v>133.88999999999999</v>
      </c>
      <c r="D8" s="1">
        <v>82.54</v>
      </c>
      <c r="E8" s="1">
        <v>71.95</v>
      </c>
      <c r="F8" s="1">
        <v>94.78</v>
      </c>
      <c r="G8" s="1">
        <v>124.37</v>
      </c>
    </row>
    <row r="9" spans="1:7" x14ac:dyDescent="0.25">
      <c r="A9" s="1" t="s">
        <v>13</v>
      </c>
      <c r="B9" s="1">
        <v>1143.1500000000001</v>
      </c>
      <c r="C9" s="1">
        <v>1315.73</v>
      </c>
      <c r="D9" s="1">
        <v>817.11</v>
      </c>
      <c r="E9" s="1">
        <v>-323.37</v>
      </c>
      <c r="F9" s="1">
        <v>-455.19</v>
      </c>
      <c r="G9" s="1">
        <v>1218.82</v>
      </c>
    </row>
    <row r="10" spans="1:7" x14ac:dyDescent="0.25">
      <c r="A10" s="1" t="s">
        <v>14</v>
      </c>
      <c r="B10" s="1">
        <v>114.31</v>
      </c>
      <c r="C10" s="1">
        <v>132.9</v>
      </c>
      <c r="D10" s="1">
        <v>82.54</v>
      </c>
      <c r="E10" s="1">
        <v>-32.659999999999997</v>
      </c>
      <c r="F10" s="1">
        <v>-45.98</v>
      </c>
      <c r="G10" s="1">
        <v>124.37</v>
      </c>
    </row>
    <row r="11" spans="1:7" x14ac:dyDescent="0.25">
      <c r="A11" s="1" t="s">
        <v>15</v>
      </c>
      <c r="B11" s="1">
        <v>997.47</v>
      </c>
      <c r="C11" s="1">
        <v>1147.55</v>
      </c>
      <c r="D11" s="1">
        <v>713.48</v>
      </c>
      <c r="E11" s="1">
        <v>81.19</v>
      </c>
      <c r="F11" s="1">
        <v>111.22</v>
      </c>
      <c r="G11" s="1">
        <v>1037.1099999999999</v>
      </c>
    </row>
    <row r="12" spans="1:7" x14ac:dyDescent="0.25">
      <c r="A12" s="1" t="s">
        <v>16</v>
      </c>
      <c r="B12" s="1">
        <v>468.07</v>
      </c>
      <c r="C12" s="1">
        <v>421.85</v>
      </c>
      <c r="D12" s="1">
        <v>441.55</v>
      </c>
      <c r="E12" s="1">
        <v>392.97</v>
      </c>
      <c r="F12" s="1">
        <v>292.77999999999997</v>
      </c>
      <c r="G12" s="1">
        <v>421.56</v>
      </c>
    </row>
    <row r="13" spans="1:7" x14ac:dyDescent="0.25">
      <c r="A13" s="1" t="s">
        <v>17</v>
      </c>
      <c r="B13" s="1">
        <v>28.98</v>
      </c>
      <c r="C13" s="1">
        <v>27.14</v>
      </c>
      <c r="D13" s="1">
        <v>28.9</v>
      </c>
      <c r="E13" s="1">
        <v>38.74</v>
      </c>
      <c r="F13" s="1">
        <v>95.41</v>
      </c>
      <c r="G13" s="1">
        <v>36.979999999999997</v>
      </c>
    </row>
    <row r="14" spans="1:7" x14ac:dyDescent="0.25">
      <c r="A14" s="1" t="s">
        <v>18</v>
      </c>
      <c r="B14" s="1">
        <v>56.46</v>
      </c>
      <c r="C14" s="1">
        <v>71.37</v>
      </c>
      <c r="D14" s="1">
        <v>68.430000000000007</v>
      </c>
      <c r="E14" s="1">
        <v>75.41</v>
      </c>
      <c r="F14" s="1">
        <v>150</v>
      </c>
      <c r="G14" s="1">
        <v>73.849999999999994</v>
      </c>
    </row>
    <row r="15" spans="1:7" x14ac:dyDescent="0.25">
      <c r="A15" s="1" t="s">
        <v>19</v>
      </c>
      <c r="B15" s="1">
        <v>2</v>
      </c>
      <c r="C15" s="1">
        <v>2</v>
      </c>
      <c r="D15" s="1">
        <v>2</v>
      </c>
      <c r="E15" s="1">
        <v>2</v>
      </c>
      <c r="F15" s="1">
        <v>3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1144.06</v>
      </c>
      <c r="C17" s="1">
        <v>1320.63</v>
      </c>
      <c r="D17" s="1">
        <v>817.11</v>
      </c>
      <c r="E17" s="1">
        <v>194.47</v>
      </c>
      <c r="F17" s="1">
        <v>241.56</v>
      </c>
      <c r="G17" s="1">
        <v>1218.82</v>
      </c>
    </row>
    <row r="18" spans="1:7" x14ac:dyDescent="0.25">
      <c r="A18" s="1" t="s">
        <v>22</v>
      </c>
      <c r="B18" s="1">
        <v>0.91</v>
      </c>
      <c r="C18" s="1">
        <v>4.9000000000000004</v>
      </c>
      <c r="D18" s="1">
        <v>0</v>
      </c>
      <c r="E18" s="1">
        <v>517.83000000000004</v>
      </c>
      <c r="F18" s="1">
        <v>696.76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4.5999999999999996</v>
      </c>
      <c r="F20" s="1">
        <v>4.5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5.4</v>
      </c>
      <c r="F21" s="1">
        <v>5.5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1.3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4.0999999999999996</v>
      </c>
      <c r="F24" s="1">
        <v>3.8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2.6</v>
      </c>
      <c r="F25" s="1">
        <v>1.7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3.3</v>
      </c>
      <c r="F26" s="1">
        <v>4.5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41</v>
      </c>
      <c r="F29" s="3">
        <f t="shared" si="1"/>
        <v>38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26</v>
      </c>
      <c r="F30" s="3">
        <f t="shared" si="2"/>
        <v>17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32.999999999999993</v>
      </c>
      <c r="F31" s="3">
        <f t="shared" si="3"/>
        <v>45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117.6</v>
      </c>
      <c r="C33" s="3">
        <v>137.24</v>
      </c>
      <c r="D33" s="3">
        <v>86.52</v>
      </c>
      <c r="E33" s="3">
        <v>-6.39</v>
      </c>
      <c r="F33" s="3">
        <v>-8.74</v>
      </c>
      <c r="G33" s="3">
        <v>126.12</v>
      </c>
    </row>
    <row r="35" spans="1:7" x14ac:dyDescent="0.25">
      <c r="A35" s="3" t="s">
        <v>36</v>
      </c>
      <c r="B35" s="3"/>
      <c r="C35" s="3"/>
      <c r="D35" s="3">
        <f>D33-C33</f>
        <v>-50.720000000000013</v>
      </c>
      <c r="E35" s="3"/>
      <c r="F35" s="3">
        <f>F33-E33</f>
        <v>-2.3500000000000005</v>
      </c>
      <c r="G35" s="3"/>
    </row>
    <row r="37" spans="1:7" x14ac:dyDescent="0.25">
      <c r="A37" s="3" t="s">
        <v>36</v>
      </c>
      <c r="B37" s="3"/>
      <c r="C37" s="3">
        <f>C33-B33</f>
        <v>19.640000000000015</v>
      </c>
      <c r="D37" s="3"/>
      <c r="E37" s="3">
        <f>E33-D33</f>
        <v>-92.91</v>
      </c>
      <c r="F37" s="3"/>
      <c r="G37" s="3">
        <f>G33-F33</f>
        <v>134.86000000000001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97B5-B33E-48C4-8EC9-B9D4B80C3BDE}">
  <dimension ref="A1:G37"/>
  <sheetViews>
    <sheetView topLeftCell="A7" workbookViewId="0">
      <selection activeCell="L16" sqref="L1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796.96</v>
      </c>
      <c r="C2" s="1">
        <v>783.56</v>
      </c>
      <c r="D2" s="1">
        <v>778.66</v>
      </c>
      <c r="E2" s="1">
        <v>784.43</v>
      </c>
      <c r="F2" s="1">
        <v>638.30999999999995</v>
      </c>
      <c r="G2" s="1">
        <v>818.59</v>
      </c>
    </row>
    <row r="3" spans="1:7" x14ac:dyDescent="0.25">
      <c r="A3" s="1" t="s">
        <v>7</v>
      </c>
      <c r="B3" s="1">
        <v>55.09</v>
      </c>
      <c r="C3" s="1">
        <v>53.24</v>
      </c>
      <c r="D3" s="1">
        <v>51.48</v>
      </c>
      <c r="E3" s="1">
        <v>53.14</v>
      </c>
      <c r="F3" s="1">
        <v>59.88</v>
      </c>
      <c r="G3" s="1">
        <v>57.72</v>
      </c>
    </row>
    <row r="4" spans="1:7" x14ac:dyDescent="0.25">
      <c r="A4" s="1" t="s">
        <v>8</v>
      </c>
      <c r="B4" s="1">
        <v>44641.02</v>
      </c>
      <c r="C4" s="1">
        <v>42318.35</v>
      </c>
      <c r="D4" s="1">
        <v>40721.199999999997</v>
      </c>
      <c r="E4" s="1">
        <v>42346.96</v>
      </c>
      <c r="F4" s="1">
        <v>38570.44</v>
      </c>
      <c r="G4" s="1">
        <v>48048.81</v>
      </c>
    </row>
    <row r="5" spans="1:7" x14ac:dyDescent="0.25">
      <c r="A5" s="1" t="s">
        <v>9</v>
      </c>
      <c r="B5" s="1">
        <v>534.21</v>
      </c>
      <c r="C5" s="1">
        <v>917.95</v>
      </c>
      <c r="D5" s="1">
        <v>583.45000000000005</v>
      </c>
      <c r="E5" s="1">
        <v>364.64</v>
      </c>
      <c r="F5" s="1">
        <v>843.59</v>
      </c>
      <c r="G5" s="1">
        <v>419.46</v>
      </c>
    </row>
    <row r="6" spans="1:7" x14ac:dyDescent="0.25">
      <c r="A6" s="3" t="s">
        <v>10</v>
      </c>
      <c r="B6" s="3">
        <v>53.42</v>
      </c>
      <c r="C6" s="3">
        <v>92.72</v>
      </c>
      <c r="D6" s="3">
        <v>58.93</v>
      </c>
      <c r="E6" s="3">
        <v>36.83</v>
      </c>
      <c r="F6" s="3">
        <v>85.21</v>
      </c>
      <c r="G6" s="3">
        <v>42.8</v>
      </c>
    </row>
    <row r="7" spans="1:7" x14ac:dyDescent="0.25">
      <c r="A7" s="1" t="s">
        <v>11</v>
      </c>
      <c r="B7" s="1">
        <v>515.41</v>
      </c>
      <c r="C7" s="1">
        <v>870.19</v>
      </c>
      <c r="D7" s="1">
        <v>542.14</v>
      </c>
      <c r="E7" s="1">
        <v>303.64</v>
      </c>
      <c r="F7" s="1">
        <v>733.86</v>
      </c>
      <c r="G7" s="1">
        <v>355.23</v>
      </c>
    </row>
    <row r="8" spans="1:7" x14ac:dyDescent="0.25">
      <c r="A8" s="1" t="s">
        <v>12</v>
      </c>
      <c r="B8" s="1">
        <v>51.54</v>
      </c>
      <c r="C8" s="1">
        <v>87.9</v>
      </c>
      <c r="D8" s="1">
        <v>54.76</v>
      </c>
      <c r="E8" s="1">
        <v>30.67</v>
      </c>
      <c r="F8" s="1">
        <v>74.13</v>
      </c>
      <c r="G8" s="1">
        <v>36.25</v>
      </c>
    </row>
    <row r="9" spans="1:7" x14ac:dyDescent="0.25">
      <c r="A9" s="1" t="s">
        <v>13</v>
      </c>
      <c r="B9" s="1">
        <v>361.73</v>
      </c>
      <c r="C9" s="1">
        <v>650.17999999999995</v>
      </c>
      <c r="D9" s="1">
        <v>322.20999999999998</v>
      </c>
      <c r="E9" s="1">
        <v>203.89</v>
      </c>
      <c r="F9" s="1">
        <v>-312.68</v>
      </c>
      <c r="G9" s="1">
        <v>310.45999999999998</v>
      </c>
    </row>
    <row r="10" spans="1:7" x14ac:dyDescent="0.25">
      <c r="A10" s="1" t="s">
        <v>14</v>
      </c>
      <c r="B10" s="1">
        <v>36.17</v>
      </c>
      <c r="C10" s="1">
        <v>65.67</v>
      </c>
      <c r="D10" s="1">
        <v>32.549999999999997</v>
      </c>
      <c r="E10" s="1">
        <v>20.59</v>
      </c>
      <c r="F10" s="1">
        <v>-31.58</v>
      </c>
      <c r="G10" s="1">
        <v>31.68</v>
      </c>
    </row>
    <row r="11" spans="1:7" x14ac:dyDescent="0.25">
      <c r="A11" s="1" t="s">
        <v>15</v>
      </c>
      <c r="B11" s="1">
        <v>292.14999999999998</v>
      </c>
      <c r="C11" s="1">
        <v>433.44</v>
      </c>
      <c r="D11" s="1">
        <v>270.77999999999997</v>
      </c>
      <c r="E11" s="1">
        <v>146.04</v>
      </c>
      <c r="F11" s="1">
        <v>120.87</v>
      </c>
      <c r="G11" s="1">
        <v>234</v>
      </c>
    </row>
    <row r="12" spans="1:7" x14ac:dyDescent="0.25">
      <c r="A12" s="1" t="s">
        <v>16</v>
      </c>
      <c r="B12" s="1">
        <v>374.45</v>
      </c>
      <c r="C12" s="1">
        <v>396</v>
      </c>
      <c r="D12" s="1">
        <v>403.96</v>
      </c>
      <c r="E12" s="1">
        <v>412.72</v>
      </c>
      <c r="F12" s="1">
        <v>315.99</v>
      </c>
      <c r="G12" s="1">
        <v>419.35</v>
      </c>
    </row>
    <row r="13" spans="1:7" x14ac:dyDescent="0.25">
      <c r="A13" s="1" t="s">
        <v>17</v>
      </c>
      <c r="B13" s="1">
        <v>52.67</v>
      </c>
      <c r="C13" s="1">
        <v>31.55</v>
      </c>
      <c r="D13" s="1">
        <v>17.04</v>
      </c>
      <c r="E13" s="1">
        <v>12.36</v>
      </c>
      <c r="F13" s="1">
        <v>44.52</v>
      </c>
      <c r="G13" s="1">
        <v>31.29</v>
      </c>
    </row>
    <row r="14" spans="1:7" x14ac:dyDescent="0.25">
      <c r="A14" s="1" t="s">
        <v>18</v>
      </c>
      <c r="B14" s="1">
        <v>143.68</v>
      </c>
      <c r="C14" s="1">
        <v>67.75</v>
      </c>
      <c r="D14" s="1">
        <v>54.33</v>
      </c>
      <c r="E14" s="1">
        <v>39.53</v>
      </c>
      <c r="F14" s="1">
        <v>119.07</v>
      </c>
      <c r="G14" s="1">
        <v>64.23</v>
      </c>
    </row>
    <row r="15" spans="1:7" x14ac:dyDescent="0.25">
      <c r="A15" s="1" t="s">
        <v>19</v>
      </c>
      <c r="B15" s="1">
        <v>2</v>
      </c>
      <c r="C15" s="1">
        <v>1</v>
      </c>
      <c r="D15" s="1">
        <v>2</v>
      </c>
      <c r="E15" s="1">
        <v>1</v>
      </c>
      <c r="F15" s="1">
        <v>3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438.57</v>
      </c>
      <c r="C17" s="1">
        <v>760.18</v>
      </c>
      <c r="D17" s="1">
        <v>432.18</v>
      </c>
      <c r="E17" s="1">
        <v>253.76</v>
      </c>
      <c r="F17" s="1">
        <v>210.59</v>
      </c>
      <c r="G17" s="1">
        <v>332.84</v>
      </c>
    </row>
    <row r="18" spans="1:7" x14ac:dyDescent="0.25">
      <c r="A18" s="1" t="s">
        <v>22</v>
      </c>
      <c r="B18" s="1">
        <v>76.84</v>
      </c>
      <c r="C18" s="1">
        <v>110.01</v>
      </c>
      <c r="D18" s="1">
        <v>109.97</v>
      </c>
      <c r="E18" s="1">
        <v>49.88</v>
      </c>
      <c r="F18" s="1">
        <v>523.27</v>
      </c>
      <c r="G18" s="1">
        <v>22.39</v>
      </c>
    </row>
    <row r="19" spans="1:7" x14ac:dyDescent="0.25">
      <c r="A19" s="1" t="s">
        <v>23</v>
      </c>
      <c r="B19" s="1">
        <v>1</v>
      </c>
      <c r="C19" s="1">
        <v>1</v>
      </c>
      <c r="D19" s="1">
        <v>2</v>
      </c>
      <c r="E19" s="1">
        <v>2</v>
      </c>
      <c r="F19" s="1">
        <v>4</v>
      </c>
      <c r="G19" s="1">
        <v>0</v>
      </c>
    </row>
    <row r="20" spans="1:7" x14ac:dyDescent="0.25">
      <c r="A20" s="1" t="s">
        <v>24</v>
      </c>
      <c r="B20" s="1">
        <v>0.6</v>
      </c>
      <c r="C20" s="1">
        <v>0.6</v>
      </c>
      <c r="D20" s="1">
        <v>2.1</v>
      </c>
      <c r="E20" s="1">
        <v>1.7</v>
      </c>
      <c r="F20" s="1">
        <v>6</v>
      </c>
      <c r="G20" s="1">
        <v>0</v>
      </c>
    </row>
    <row r="21" spans="1:7" x14ac:dyDescent="0.25">
      <c r="A21" s="1" t="s">
        <v>25</v>
      </c>
      <c r="B21" s="1">
        <v>9.5</v>
      </c>
      <c r="C21" s="1">
        <v>9.4</v>
      </c>
      <c r="D21" s="1">
        <v>7.9</v>
      </c>
      <c r="E21" s="1">
        <v>8.3000000000000007</v>
      </c>
      <c r="F21" s="1">
        <v>4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3.6</v>
      </c>
      <c r="G24" s="1">
        <v>0</v>
      </c>
    </row>
    <row r="25" spans="1:7" x14ac:dyDescent="0.25">
      <c r="A25" s="1" t="s">
        <v>29</v>
      </c>
      <c r="B25" s="1">
        <v>5.0999999999999996</v>
      </c>
      <c r="C25" s="1">
        <v>0</v>
      </c>
      <c r="D25" s="1">
        <v>4.7</v>
      </c>
      <c r="E25" s="1">
        <v>3.9</v>
      </c>
      <c r="F25" s="1">
        <v>5.4</v>
      </c>
      <c r="G25" s="1">
        <v>4.4000000000000004</v>
      </c>
    </row>
    <row r="26" spans="1:7" x14ac:dyDescent="0.25">
      <c r="A26" s="1" t="s">
        <v>30</v>
      </c>
      <c r="B26" s="1">
        <v>5</v>
      </c>
      <c r="C26" s="1">
        <v>10</v>
      </c>
      <c r="D26" s="1">
        <v>5.3</v>
      </c>
      <c r="E26" s="1">
        <v>6.1</v>
      </c>
      <c r="F26" s="1">
        <v>1</v>
      </c>
      <c r="G26" s="1">
        <v>5.5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50.495049504950494</v>
      </c>
      <c r="C30" s="3">
        <f t="shared" ref="C30:G30" si="2">C25/C28*100</f>
        <v>0</v>
      </c>
      <c r="D30" s="3">
        <f t="shared" si="2"/>
        <v>47</v>
      </c>
      <c r="E30" s="3">
        <f t="shared" si="2"/>
        <v>39</v>
      </c>
      <c r="F30" s="3">
        <f t="shared" si="2"/>
        <v>54</v>
      </c>
      <c r="G30" s="3">
        <f t="shared" si="2"/>
        <v>44.44444444444445</v>
      </c>
    </row>
    <row r="31" spans="1:7" x14ac:dyDescent="0.25">
      <c r="A31" s="3" t="s">
        <v>34</v>
      </c>
      <c r="B31" s="3">
        <f>B26/B28*100</f>
        <v>49.504950495049506</v>
      </c>
      <c r="C31" s="3">
        <f t="shared" ref="C31:G31" si="3">C26/C28*100</f>
        <v>100</v>
      </c>
      <c r="D31" s="3">
        <f t="shared" si="3"/>
        <v>53</v>
      </c>
      <c r="E31" s="3">
        <f t="shared" si="3"/>
        <v>61</v>
      </c>
      <c r="F31" s="3">
        <f t="shared" si="3"/>
        <v>10</v>
      </c>
      <c r="G31" s="3">
        <f t="shared" si="3"/>
        <v>55.555555555555557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36.82</v>
      </c>
      <c r="C33" s="3">
        <v>62.58</v>
      </c>
      <c r="D33" s="3">
        <v>28.01</v>
      </c>
      <c r="E33" s="3">
        <v>23.64</v>
      </c>
      <c r="F33" s="3">
        <v>-21.11</v>
      </c>
      <c r="G33" s="3">
        <v>34.83</v>
      </c>
    </row>
    <row r="35" spans="1:7" x14ac:dyDescent="0.25">
      <c r="A35" s="3" t="s">
        <v>36</v>
      </c>
      <c r="B35" s="3"/>
      <c r="C35" s="3"/>
      <c r="D35" s="3">
        <f>D33-C33</f>
        <v>-34.569999999999993</v>
      </c>
      <c r="E35" s="3"/>
      <c r="F35" s="3">
        <f>F33-E33</f>
        <v>-44.75</v>
      </c>
      <c r="G35" s="3"/>
    </row>
    <row r="37" spans="1:7" x14ac:dyDescent="0.25">
      <c r="A37" s="3" t="s">
        <v>36</v>
      </c>
      <c r="B37" s="3"/>
      <c r="C37" s="3">
        <f>C33-B33</f>
        <v>25.759999999999998</v>
      </c>
      <c r="D37" s="3"/>
      <c r="E37" s="3">
        <f>E33-D33</f>
        <v>-4.370000000000001</v>
      </c>
      <c r="F37" s="3"/>
      <c r="G37" s="3">
        <f>G33-F33</f>
        <v>55.94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89ED-775D-41A8-8CC6-84B6F4ECD2AC}">
  <dimension ref="A1:G37"/>
  <sheetViews>
    <sheetView topLeftCell="A7" workbookViewId="0">
      <selection activeCell="K26" sqref="K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797.04</v>
      </c>
      <c r="C2" s="1">
        <v>752.09</v>
      </c>
      <c r="D2" s="1">
        <v>736.62</v>
      </c>
      <c r="E2" s="1">
        <v>780.02</v>
      </c>
      <c r="F2" s="1">
        <v>769.01</v>
      </c>
      <c r="G2" s="1">
        <v>762.78</v>
      </c>
    </row>
    <row r="3" spans="1:7" x14ac:dyDescent="0.25">
      <c r="A3" s="1" t="s">
        <v>7</v>
      </c>
      <c r="B3" s="1">
        <v>63.44</v>
      </c>
      <c r="C3" s="1">
        <v>61.14</v>
      </c>
      <c r="D3" s="1">
        <v>59.95</v>
      </c>
      <c r="E3" s="1">
        <v>58.71</v>
      </c>
      <c r="F3" s="1">
        <v>59.07</v>
      </c>
      <c r="G3" s="1">
        <v>54.72</v>
      </c>
    </row>
    <row r="4" spans="1:7" x14ac:dyDescent="0.25">
      <c r="A4" s="1" t="s">
        <v>8</v>
      </c>
      <c r="B4" s="1">
        <v>51390.55</v>
      </c>
      <c r="C4" s="1">
        <v>46745.89</v>
      </c>
      <c r="D4" s="1">
        <v>44851.29</v>
      </c>
      <c r="E4" s="1">
        <v>46522.29</v>
      </c>
      <c r="F4" s="1">
        <v>46162.47</v>
      </c>
      <c r="G4" s="1">
        <v>42410.67</v>
      </c>
    </row>
    <row r="5" spans="1:7" x14ac:dyDescent="0.25">
      <c r="A5" s="1" t="s">
        <v>9</v>
      </c>
      <c r="B5" s="1">
        <v>1400.83</v>
      </c>
      <c r="C5" s="1">
        <v>1218.0899999999999</v>
      </c>
      <c r="D5" s="1">
        <v>605.14</v>
      </c>
      <c r="E5" s="1">
        <v>646.85</v>
      </c>
      <c r="F5" s="1">
        <v>763.59</v>
      </c>
      <c r="G5" s="1">
        <v>1010.54</v>
      </c>
    </row>
    <row r="6" spans="1:7" x14ac:dyDescent="0.25">
      <c r="A6" s="3" t="s">
        <v>10</v>
      </c>
      <c r="B6" s="3">
        <v>140.08000000000001</v>
      </c>
      <c r="C6" s="3">
        <v>123.04</v>
      </c>
      <c r="D6" s="3">
        <v>61.13</v>
      </c>
      <c r="E6" s="3">
        <v>65.34</v>
      </c>
      <c r="F6" s="3">
        <v>77.13</v>
      </c>
      <c r="G6" s="3">
        <v>103.12</v>
      </c>
    </row>
    <row r="7" spans="1:7" x14ac:dyDescent="0.25">
      <c r="A7" s="1" t="s">
        <v>11</v>
      </c>
      <c r="B7" s="1">
        <v>1352.39</v>
      </c>
      <c r="C7" s="1">
        <v>1148.07</v>
      </c>
      <c r="D7" s="1">
        <v>544.19000000000005</v>
      </c>
      <c r="E7" s="1">
        <v>604.17999999999995</v>
      </c>
      <c r="F7" s="1">
        <v>722.17</v>
      </c>
      <c r="G7" s="1">
        <v>955.9</v>
      </c>
    </row>
    <row r="8" spans="1:7" x14ac:dyDescent="0.25">
      <c r="A8" s="1" t="s">
        <v>12</v>
      </c>
      <c r="B8" s="1">
        <v>135.24</v>
      </c>
      <c r="C8" s="1">
        <v>115.97</v>
      </c>
      <c r="D8" s="1">
        <v>54.97</v>
      </c>
      <c r="E8" s="1">
        <v>61.03</v>
      </c>
      <c r="F8" s="1">
        <v>72.95</v>
      </c>
      <c r="G8" s="1">
        <v>97.54</v>
      </c>
    </row>
    <row r="9" spans="1:7" x14ac:dyDescent="0.25">
      <c r="A9" s="1" t="s">
        <v>13</v>
      </c>
      <c r="B9" s="1">
        <v>1297.17</v>
      </c>
      <c r="C9" s="1">
        <v>1130.52</v>
      </c>
      <c r="D9" s="1">
        <v>479.48</v>
      </c>
      <c r="E9" s="1">
        <v>509.51</v>
      </c>
      <c r="F9" s="1">
        <v>338.15</v>
      </c>
      <c r="G9" s="1">
        <v>953.24</v>
      </c>
    </row>
    <row r="10" spans="1:7" x14ac:dyDescent="0.25">
      <c r="A10" s="1" t="s">
        <v>14</v>
      </c>
      <c r="B10" s="1">
        <v>129.72</v>
      </c>
      <c r="C10" s="1">
        <v>114.19</v>
      </c>
      <c r="D10" s="1">
        <v>48.43</v>
      </c>
      <c r="E10" s="1">
        <v>51.47</v>
      </c>
      <c r="F10" s="1">
        <v>34.159999999999997</v>
      </c>
      <c r="G10" s="1">
        <v>97.27</v>
      </c>
    </row>
    <row r="11" spans="1:7" x14ac:dyDescent="0.25">
      <c r="A11" s="1" t="s">
        <v>15</v>
      </c>
      <c r="B11" s="1">
        <v>1118.3499999999999</v>
      </c>
      <c r="C11" s="1">
        <v>887.22</v>
      </c>
      <c r="D11" s="1">
        <v>398.22</v>
      </c>
      <c r="E11" s="1">
        <v>418.86</v>
      </c>
      <c r="F11" s="1">
        <v>102.47</v>
      </c>
      <c r="G11" s="1">
        <v>812.27</v>
      </c>
    </row>
    <row r="12" spans="1:7" x14ac:dyDescent="0.25">
      <c r="A12" s="1" t="s">
        <v>16</v>
      </c>
      <c r="B12" s="1">
        <v>411.72</v>
      </c>
      <c r="C12" s="1">
        <v>407.59</v>
      </c>
      <c r="D12" s="1">
        <v>333.59</v>
      </c>
      <c r="E12" s="1">
        <v>406.03</v>
      </c>
      <c r="F12" s="1">
        <v>378.6</v>
      </c>
      <c r="G12" s="1">
        <v>398.26</v>
      </c>
    </row>
    <row r="13" spans="1:7" x14ac:dyDescent="0.25">
      <c r="A13" s="1" t="s">
        <v>17</v>
      </c>
      <c r="B13" s="1">
        <v>37.31</v>
      </c>
      <c r="C13" s="1">
        <v>39.15</v>
      </c>
      <c r="D13" s="1">
        <v>21.28</v>
      </c>
      <c r="E13" s="1">
        <v>28.49</v>
      </c>
      <c r="F13" s="1">
        <v>42.09</v>
      </c>
      <c r="G13" s="1">
        <v>32.869999999999997</v>
      </c>
    </row>
    <row r="14" spans="1:7" x14ac:dyDescent="0.25">
      <c r="A14" s="1" t="s">
        <v>18</v>
      </c>
      <c r="B14" s="1">
        <v>87.86</v>
      </c>
      <c r="C14" s="1">
        <v>114.18</v>
      </c>
      <c r="D14" s="1">
        <v>46.89</v>
      </c>
      <c r="E14" s="1">
        <v>82.63</v>
      </c>
      <c r="F14" s="1">
        <v>135.78</v>
      </c>
      <c r="G14" s="1">
        <v>75.819999999999993</v>
      </c>
    </row>
    <row r="15" spans="1:7" x14ac:dyDescent="0.25">
      <c r="A15" s="1" t="s">
        <v>19</v>
      </c>
      <c r="B15" s="1">
        <v>3</v>
      </c>
      <c r="C15" s="1">
        <v>3</v>
      </c>
      <c r="D15" s="1">
        <v>1</v>
      </c>
      <c r="E15" s="1">
        <v>2</v>
      </c>
      <c r="F15" s="1">
        <v>2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1324.78</v>
      </c>
      <c r="C17" s="1">
        <v>1139.29</v>
      </c>
      <c r="D17" s="1">
        <v>511.83</v>
      </c>
      <c r="E17" s="1">
        <v>556.84</v>
      </c>
      <c r="F17" s="1">
        <v>530.16</v>
      </c>
      <c r="G17" s="1">
        <v>954.57</v>
      </c>
    </row>
    <row r="18" spans="1:7" x14ac:dyDescent="0.25">
      <c r="A18" s="1" t="s">
        <v>22</v>
      </c>
      <c r="B18" s="1">
        <v>27.61</v>
      </c>
      <c r="C18" s="1">
        <v>8.77</v>
      </c>
      <c r="D18" s="1">
        <v>32.36</v>
      </c>
      <c r="E18" s="1">
        <v>47.33</v>
      </c>
      <c r="F18" s="1">
        <v>192.01</v>
      </c>
      <c r="G18" s="1">
        <v>1.33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0.8</v>
      </c>
      <c r="F20" s="1">
        <v>5.0999999999999996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9.1999999999999993</v>
      </c>
      <c r="F21" s="1">
        <v>4.9000000000000004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4.9000000000000004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2.9</v>
      </c>
      <c r="E25" s="1">
        <v>2.8</v>
      </c>
      <c r="F25" s="1">
        <v>1.7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7.1</v>
      </c>
      <c r="E26" s="1">
        <v>7.2</v>
      </c>
      <c r="F26" s="1">
        <v>3.4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49.000000000000007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28.999999999999996</v>
      </c>
      <c r="E30" s="3">
        <f t="shared" si="2"/>
        <v>27.999999999999996</v>
      </c>
      <c r="F30" s="3">
        <f t="shared" si="2"/>
        <v>17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71</v>
      </c>
      <c r="E31" s="3">
        <f t="shared" si="3"/>
        <v>72</v>
      </c>
      <c r="F31" s="3">
        <f t="shared" si="3"/>
        <v>34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133.59</v>
      </c>
      <c r="C33" s="3">
        <v>118.91</v>
      </c>
      <c r="D33" s="3">
        <v>50.25</v>
      </c>
      <c r="E33" s="3">
        <v>52.93</v>
      </c>
      <c r="F33" s="3">
        <v>0.01</v>
      </c>
      <c r="G33" s="3">
        <v>102.67</v>
      </c>
    </row>
    <row r="35" spans="1:7" x14ac:dyDescent="0.25">
      <c r="A35" s="3" t="s">
        <v>36</v>
      </c>
      <c r="B35" s="3"/>
      <c r="C35" s="3"/>
      <c r="D35" s="3">
        <f>D33-C33</f>
        <v>-68.66</v>
      </c>
      <c r="E35" s="3"/>
      <c r="F35" s="3">
        <f>F33-E33</f>
        <v>-52.92</v>
      </c>
      <c r="G35" s="3"/>
    </row>
    <row r="37" spans="1:7" x14ac:dyDescent="0.25">
      <c r="A37" s="3" t="s">
        <v>36</v>
      </c>
      <c r="B37" s="3"/>
      <c r="C37" s="3">
        <f>C33-B33</f>
        <v>-14.680000000000007</v>
      </c>
      <c r="D37" s="3"/>
      <c r="E37" s="3">
        <f>E33-D33</f>
        <v>2.6799999999999997</v>
      </c>
      <c r="F37" s="3"/>
      <c r="G37" s="3">
        <f>G33-F33</f>
        <v>102.66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3240-1121-4386-8ADF-9629F7074958}">
  <dimension ref="A1:G37"/>
  <sheetViews>
    <sheetView topLeftCell="A7" workbookViewId="0">
      <selection activeCell="K26" sqref="K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787.7</v>
      </c>
      <c r="C2" s="1">
        <v>786.53</v>
      </c>
      <c r="D2" s="1">
        <v>790.24</v>
      </c>
      <c r="E2" s="1">
        <v>767.93</v>
      </c>
      <c r="F2" s="1">
        <v>747.7</v>
      </c>
      <c r="G2" s="1">
        <v>804.16</v>
      </c>
    </row>
    <row r="3" spans="1:7" x14ac:dyDescent="0.25">
      <c r="A3" s="1" t="s">
        <v>7</v>
      </c>
      <c r="B3" s="1">
        <v>53.34</v>
      </c>
      <c r="C3" s="1">
        <v>51.69</v>
      </c>
      <c r="D3" s="1">
        <v>52</v>
      </c>
      <c r="E3" s="1">
        <v>50.61</v>
      </c>
      <c r="F3" s="1">
        <v>54.02</v>
      </c>
      <c r="G3" s="1">
        <v>54.35</v>
      </c>
    </row>
    <row r="4" spans="1:7" x14ac:dyDescent="0.25">
      <c r="A4" s="1" t="s">
        <v>8</v>
      </c>
      <c r="B4" s="1">
        <v>42654.65</v>
      </c>
      <c r="C4" s="1">
        <v>41309.660000000003</v>
      </c>
      <c r="D4" s="1">
        <v>41751.699999999997</v>
      </c>
      <c r="E4" s="1">
        <v>39477.53</v>
      </c>
      <c r="F4" s="1">
        <v>41023.199999999997</v>
      </c>
      <c r="G4" s="1">
        <v>44421.760000000002</v>
      </c>
    </row>
    <row r="5" spans="1:7" x14ac:dyDescent="0.25">
      <c r="A5" s="1" t="s">
        <v>9</v>
      </c>
      <c r="B5" s="1">
        <v>1334.75</v>
      </c>
      <c r="C5" s="1">
        <v>1474.29</v>
      </c>
      <c r="D5" s="1">
        <v>1210.24</v>
      </c>
      <c r="E5" s="1">
        <v>1410.36</v>
      </c>
      <c r="F5" s="1">
        <v>1313.43</v>
      </c>
      <c r="G5" s="1">
        <v>1405.22</v>
      </c>
    </row>
    <row r="6" spans="1:7" x14ac:dyDescent="0.25">
      <c r="A6" s="3" t="s">
        <v>10</v>
      </c>
      <c r="B6" s="3">
        <v>133.47</v>
      </c>
      <c r="C6" s="3">
        <v>148.91999999999999</v>
      </c>
      <c r="D6" s="3">
        <v>122.25</v>
      </c>
      <c r="E6" s="3">
        <v>142.46</v>
      </c>
      <c r="F6" s="3">
        <v>132.66999999999999</v>
      </c>
      <c r="G6" s="3">
        <v>143.38999999999999</v>
      </c>
    </row>
    <row r="7" spans="1:7" x14ac:dyDescent="0.25">
      <c r="A7" s="1" t="s">
        <v>11</v>
      </c>
      <c r="B7" s="1">
        <v>1187.1099999999999</v>
      </c>
      <c r="C7" s="1">
        <v>1299.29</v>
      </c>
      <c r="D7" s="1">
        <v>939.87</v>
      </c>
      <c r="E7" s="1">
        <v>1120.3499999999999</v>
      </c>
      <c r="F7" s="1">
        <v>1201.17</v>
      </c>
      <c r="G7" s="1">
        <v>1167.54</v>
      </c>
    </row>
    <row r="8" spans="1:7" x14ac:dyDescent="0.25">
      <c r="A8" s="1" t="s">
        <v>12</v>
      </c>
      <c r="B8" s="1">
        <v>118.71</v>
      </c>
      <c r="C8" s="1">
        <v>131.24</v>
      </c>
      <c r="D8" s="1">
        <v>94.94</v>
      </c>
      <c r="E8" s="1">
        <v>113.17</v>
      </c>
      <c r="F8" s="1">
        <v>121.33</v>
      </c>
      <c r="G8" s="1">
        <v>119.14</v>
      </c>
    </row>
    <row r="9" spans="1:7" x14ac:dyDescent="0.25">
      <c r="A9" s="1" t="s">
        <v>13</v>
      </c>
      <c r="B9" s="1">
        <v>1186.0899999999999</v>
      </c>
      <c r="C9" s="1">
        <v>1299.29</v>
      </c>
      <c r="D9" s="1">
        <v>935.67</v>
      </c>
      <c r="E9" s="1">
        <v>1088.92</v>
      </c>
      <c r="F9" s="1">
        <v>-733.53</v>
      </c>
      <c r="G9" s="1">
        <v>1150.8599999999999</v>
      </c>
    </row>
    <row r="10" spans="1:7" x14ac:dyDescent="0.25">
      <c r="A10" s="1" t="s">
        <v>14</v>
      </c>
      <c r="B10" s="1">
        <v>118.61</v>
      </c>
      <c r="C10" s="1">
        <v>131.24</v>
      </c>
      <c r="D10" s="1">
        <v>94.51</v>
      </c>
      <c r="E10" s="1">
        <v>109.99</v>
      </c>
      <c r="F10" s="1">
        <v>-74.09</v>
      </c>
      <c r="G10" s="1">
        <v>117.43</v>
      </c>
    </row>
    <row r="11" spans="1:7" x14ac:dyDescent="0.25">
      <c r="A11" s="1" t="s">
        <v>15</v>
      </c>
      <c r="B11" s="1">
        <v>745.03</v>
      </c>
      <c r="C11" s="1">
        <v>832.83</v>
      </c>
      <c r="D11" s="1">
        <v>537.37</v>
      </c>
      <c r="E11" s="1">
        <v>662.34</v>
      </c>
      <c r="F11" s="1">
        <v>77.64</v>
      </c>
      <c r="G11" s="1">
        <v>644.27</v>
      </c>
    </row>
    <row r="12" spans="1:7" x14ac:dyDescent="0.25">
      <c r="A12" s="1" t="s">
        <v>16</v>
      </c>
      <c r="B12" s="1">
        <v>399</v>
      </c>
      <c r="C12" s="1">
        <v>457.77</v>
      </c>
      <c r="D12" s="1">
        <v>435.19</v>
      </c>
      <c r="E12" s="1">
        <v>450.02</v>
      </c>
      <c r="F12" s="1">
        <v>299.44</v>
      </c>
      <c r="G12" s="1">
        <v>435.56</v>
      </c>
    </row>
    <row r="13" spans="1:7" x14ac:dyDescent="0.25">
      <c r="A13" s="1" t="s">
        <v>17</v>
      </c>
      <c r="B13" s="1">
        <v>57.83</v>
      </c>
      <c r="C13" s="1">
        <v>55.94</v>
      </c>
      <c r="D13" s="1">
        <v>46.11</v>
      </c>
      <c r="E13" s="1">
        <v>44.63</v>
      </c>
      <c r="F13" s="1">
        <v>94.72</v>
      </c>
      <c r="G13" s="1">
        <v>52.1</v>
      </c>
    </row>
    <row r="14" spans="1:7" x14ac:dyDescent="0.25">
      <c r="A14" s="1" t="s">
        <v>18</v>
      </c>
      <c r="B14" s="1">
        <v>135.47999999999999</v>
      </c>
      <c r="C14" s="1">
        <v>111.56</v>
      </c>
      <c r="D14" s="1">
        <v>106.95</v>
      </c>
      <c r="E14" s="1">
        <v>83.95</v>
      </c>
      <c r="F14" s="1">
        <v>154.41999999999999</v>
      </c>
      <c r="G14" s="1">
        <v>122.89</v>
      </c>
    </row>
    <row r="15" spans="1:7" x14ac:dyDescent="0.25">
      <c r="A15" s="1" t="s">
        <v>19</v>
      </c>
      <c r="B15" s="1">
        <v>3</v>
      </c>
      <c r="C15" s="1">
        <v>6</v>
      </c>
      <c r="D15" s="1">
        <v>3</v>
      </c>
      <c r="E15" s="1">
        <v>6</v>
      </c>
      <c r="F15" s="1">
        <v>6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1186.5999999999999</v>
      </c>
      <c r="C17" s="1">
        <v>1299.29</v>
      </c>
      <c r="D17" s="1">
        <v>937.77</v>
      </c>
      <c r="E17" s="1">
        <v>1104.6300000000001</v>
      </c>
      <c r="F17" s="1">
        <v>233.82</v>
      </c>
      <c r="G17" s="1">
        <v>1159.2</v>
      </c>
    </row>
    <row r="18" spans="1:7" x14ac:dyDescent="0.25">
      <c r="A18" s="1" t="s">
        <v>22</v>
      </c>
      <c r="B18" s="1">
        <v>0.51</v>
      </c>
      <c r="C18" s="1">
        <v>0</v>
      </c>
      <c r="D18" s="1">
        <v>2.1</v>
      </c>
      <c r="E18" s="1">
        <v>15.71</v>
      </c>
      <c r="F18" s="1">
        <v>967.35</v>
      </c>
      <c r="G18" s="1">
        <v>8.34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2.6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2.9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4.5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28.999999999999996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45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129.5</v>
      </c>
      <c r="C33" s="3">
        <v>140.86000000000001</v>
      </c>
      <c r="D33" s="3">
        <v>121.45</v>
      </c>
      <c r="E33" s="3">
        <v>129.69</v>
      </c>
      <c r="F33" s="3">
        <v>-26.5</v>
      </c>
      <c r="G33" s="3">
        <v>138.38999999999999</v>
      </c>
    </row>
    <row r="35" spans="1:7" x14ac:dyDescent="0.25">
      <c r="A35" s="3" t="s">
        <v>36</v>
      </c>
      <c r="B35" s="3"/>
      <c r="C35" s="3"/>
      <c r="D35" s="3">
        <f>D33-C33</f>
        <v>-19.410000000000011</v>
      </c>
      <c r="E35" s="3"/>
      <c r="F35" s="3">
        <f>F33-E33</f>
        <v>-156.19</v>
      </c>
      <c r="G35" s="3"/>
    </row>
    <row r="37" spans="1:7" x14ac:dyDescent="0.25">
      <c r="A37" s="3" t="s">
        <v>36</v>
      </c>
      <c r="B37" s="3"/>
      <c r="C37" s="3">
        <f>C33-B33</f>
        <v>11.360000000000014</v>
      </c>
      <c r="D37" s="3"/>
      <c r="E37" s="3">
        <f>E33-D33</f>
        <v>8.2399999999999949</v>
      </c>
      <c r="F37" s="3"/>
      <c r="G37" s="3">
        <f>G33-F33</f>
        <v>164.89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7CC7-92F1-4EAD-931B-F7F149AB597A}">
  <dimension ref="A1:G37"/>
  <sheetViews>
    <sheetView topLeftCell="A7" workbookViewId="0">
      <selection activeCell="K27" sqref="K2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816.58</v>
      </c>
      <c r="C2" s="1">
        <v>817.54</v>
      </c>
      <c r="D2" s="1">
        <v>836.7</v>
      </c>
      <c r="E2" s="1">
        <v>797.84</v>
      </c>
      <c r="F2" s="1">
        <v>799.39</v>
      </c>
      <c r="G2" s="1">
        <v>809.17</v>
      </c>
    </row>
    <row r="3" spans="1:7" x14ac:dyDescent="0.25">
      <c r="A3" s="1" t="s">
        <v>7</v>
      </c>
      <c r="B3" s="1">
        <v>63.63</v>
      </c>
      <c r="C3" s="1">
        <v>65.03</v>
      </c>
      <c r="D3" s="1">
        <v>66.03</v>
      </c>
      <c r="E3" s="1">
        <v>62.39</v>
      </c>
      <c r="F3" s="1">
        <v>63.1</v>
      </c>
      <c r="G3" s="1">
        <v>70.05</v>
      </c>
    </row>
    <row r="4" spans="1:7" x14ac:dyDescent="0.25">
      <c r="A4" s="1" t="s">
        <v>8</v>
      </c>
      <c r="B4" s="1">
        <v>52839.01</v>
      </c>
      <c r="C4" s="1">
        <v>54071.25</v>
      </c>
      <c r="D4" s="1">
        <v>56197.07</v>
      </c>
      <c r="E4" s="1">
        <v>50630.86</v>
      </c>
      <c r="F4" s="1">
        <v>51297.09</v>
      </c>
      <c r="G4" s="1">
        <v>57636.14</v>
      </c>
    </row>
    <row r="5" spans="1:7" x14ac:dyDescent="0.25">
      <c r="A5" s="1" t="s">
        <v>9</v>
      </c>
      <c r="B5" s="1">
        <v>1298.71</v>
      </c>
      <c r="C5" s="1">
        <v>1293.8599999999999</v>
      </c>
      <c r="D5" s="1">
        <v>838.36</v>
      </c>
      <c r="E5" s="1">
        <v>1001.02</v>
      </c>
      <c r="F5" s="1">
        <v>756.65</v>
      </c>
      <c r="G5" s="1">
        <v>1217.19</v>
      </c>
    </row>
    <row r="6" spans="1:7" x14ac:dyDescent="0.25">
      <c r="A6" s="3" t="s">
        <v>10</v>
      </c>
      <c r="B6" s="3">
        <v>129.87</v>
      </c>
      <c r="C6" s="3">
        <v>130.69</v>
      </c>
      <c r="D6" s="3">
        <v>84.68</v>
      </c>
      <c r="E6" s="3">
        <v>101.11</v>
      </c>
      <c r="F6" s="3">
        <v>76.430000000000007</v>
      </c>
      <c r="G6" s="3">
        <v>124.2</v>
      </c>
    </row>
    <row r="7" spans="1:7" x14ac:dyDescent="0.25">
      <c r="A7" s="1" t="s">
        <v>11</v>
      </c>
      <c r="B7" s="1">
        <v>1156.6099999999999</v>
      </c>
      <c r="C7" s="1">
        <v>1141.5899999999999</v>
      </c>
      <c r="D7" s="1">
        <v>621.25</v>
      </c>
      <c r="E7" s="1">
        <v>806.06</v>
      </c>
      <c r="F7" s="1">
        <v>608.46</v>
      </c>
      <c r="G7" s="1">
        <v>1089.79</v>
      </c>
    </row>
    <row r="8" spans="1:7" x14ac:dyDescent="0.25">
      <c r="A8" s="1" t="s">
        <v>12</v>
      </c>
      <c r="B8" s="1">
        <v>115.66</v>
      </c>
      <c r="C8" s="1">
        <v>115.31</v>
      </c>
      <c r="D8" s="1">
        <v>62.75</v>
      </c>
      <c r="E8" s="1">
        <v>81.42</v>
      </c>
      <c r="F8" s="1">
        <v>61.46</v>
      </c>
      <c r="G8" s="1">
        <v>111.2</v>
      </c>
    </row>
    <row r="9" spans="1:7" x14ac:dyDescent="0.25">
      <c r="A9" s="1" t="s">
        <v>13</v>
      </c>
      <c r="B9" s="1">
        <v>1156.6099999999999</v>
      </c>
      <c r="C9" s="1">
        <v>1141.5899999999999</v>
      </c>
      <c r="D9" s="1">
        <v>619.51</v>
      </c>
      <c r="E9" s="1">
        <v>806.06</v>
      </c>
      <c r="F9" s="1">
        <v>395.31</v>
      </c>
      <c r="G9" s="1">
        <v>1089.79</v>
      </c>
    </row>
    <row r="10" spans="1:7" x14ac:dyDescent="0.25">
      <c r="A10" s="1" t="s">
        <v>14</v>
      </c>
      <c r="B10" s="1">
        <v>115.66</v>
      </c>
      <c r="C10" s="1">
        <v>115.31</v>
      </c>
      <c r="D10" s="1">
        <v>62.58</v>
      </c>
      <c r="E10" s="1">
        <v>81.42</v>
      </c>
      <c r="F10" s="1">
        <v>39.93</v>
      </c>
      <c r="G10" s="1">
        <v>111.2</v>
      </c>
    </row>
    <row r="11" spans="1:7" x14ac:dyDescent="0.25">
      <c r="A11" s="1" t="s">
        <v>15</v>
      </c>
      <c r="B11" s="1">
        <v>736.52</v>
      </c>
      <c r="C11" s="1">
        <v>727.33</v>
      </c>
      <c r="D11" s="1">
        <v>392.21</v>
      </c>
      <c r="E11" s="1">
        <v>511.69</v>
      </c>
      <c r="F11" s="1">
        <v>159.99</v>
      </c>
      <c r="G11" s="1">
        <v>571.79999999999995</v>
      </c>
    </row>
    <row r="12" spans="1:7" x14ac:dyDescent="0.25">
      <c r="A12" s="1" t="s">
        <v>16</v>
      </c>
      <c r="B12" s="1">
        <v>478.74</v>
      </c>
      <c r="C12" s="1">
        <v>457.11</v>
      </c>
      <c r="D12" s="1">
        <v>454.49</v>
      </c>
      <c r="E12" s="1">
        <v>440.06</v>
      </c>
      <c r="F12" s="1">
        <v>399.2</v>
      </c>
      <c r="G12" s="1">
        <v>408.88</v>
      </c>
    </row>
    <row r="13" spans="1:7" x14ac:dyDescent="0.25">
      <c r="A13" s="1" t="s">
        <v>17</v>
      </c>
      <c r="B13" s="1">
        <v>49.32</v>
      </c>
      <c r="C13" s="1">
        <v>61.39</v>
      </c>
      <c r="D13" s="1">
        <v>35.090000000000003</v>
      </c>
      <c r="E13" s="1">
        <v>37.99</v>
      </c>
      <c r="F13" s="1">
        <v>29.49</v>
      </c>
      <c r="G13" s="1">
        <v>62.26</v>
      </c>
    </row>
    <row r="14" spans="1:7" x14ac:dyDescent="0.25">
      <c r="A14" s="1" t="s">
        <v>18</v>
      </c>
      <c r="B14" s="1">
        <v>112.39</v>
      </c>
      <c r="C14" s="1">
        <v>121.49</v>
      </c>
      <c r="D14" s="1">
        <v>98.39</v>
      </c>
      <c r="E14" s="1">
        <v>80.78</v>
      </c>
      <c r="F14" s="1">
        <v>85.78</v>
      </c>
      <c r="G14" s="1">
        <v>146.81</v>
      </c>
    </row>
    <row r="15" spans="1:7" x14ac:dyDescent="0.25">
      <c r="A15" s="1" t="s">
        <v>19</v>
      </c>
      <c r="B15" s="1">
        <v>4</v>
      </c>
      <c r="C15" s="1">
        <v>5</v>
      </c>
      <c r="D15" s="1">
        <v>2</v>
      </c>
      <c r="E15" s="1">
        <v>4</v>
      </c>
      <c r="F15" s="1">
        <v>4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1156.6099999999999</v>
      </c>
      <c r="C17" s="1">
        <v>1141.5899999999999</v>
      </c>
      <c r="D17" s="1">
        <v>620.38</v>
      </c>
      <c r="E17" s="1">
        <v>806.06</v>
      </c>
      <c r="F17" s="1">
        <v>501.88</v>
      </c>
      <c r="G17" s="1">
        <v>1089.79</v>
      </c>
    </row>
    <row r="18" spans="1:7" x14ac:dyDescent="0.25">
      <c r="A18" s="1" t="s">
        <v>22</v>
      </c>
      <c r="B18" s="1">
        <v>0</v>
      </c>
      <c r="C18" s="1">
        <v>0</v>
      </c>
      <c r="D18" s="1">
        <v>0.87</v>
      </c>
      <c r="E18" s="1">
        <v>0</v>
      </c>
      <c r="F18" s="1">
        <v>106.58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3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2.9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9</v>
      </c>
      <c r="E26" s="1">
        <v>10</v>
      </c>
      <c r="F26" s="1">
        <v>7.1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28.999999999999996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90</v>
      </c>
      <c r="E31" s="3">
        <f t="shared" si="3"/>
        <v>100</v>
      </c>
      <c r="F31" s="3">
        <f t="shared" si="3"/>
        <v>71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126.51</v>
      </c>
      <c r="C33" s="3">
        <v>128.85</v>
      </c>
      <c r="D33" s="3">
        <v>81.8</v>
      </c>
      <c r="E33" s="3">
        <v>98.71</v>
      </c>
      <c r="F33" s="3">
        <v>30</v>
      </c>
      <c r="G33" s="3">
        <v>122.55</v>
      </c>
    </row>
    <row r="35" spans="1:7" x14ac:dyDescent="0.25">
      <c r="A35" s="3" t="s">
        <v>36</v>
      </c>
      <c r="B35" s="3"/>
      <c r="C35" s="3"/>
      <c r="D35" s="3">
        <f>D33-C33</f>
        <v>-47.05</v>
      </c>
      <c r="E35" s="3"/>
      <c r="F35" s="3">
        <f>F33-E33</f>
        <v>-68.709999999999994</v>
      </c>
      <c r="G35" s="3"/>
    </row>
    <row r="37" spans="1:7" x14ac:dyDescent="0.25">
      <c r="A37" s="3" t="s">
        <v>36</v>
      </c>
      <c r="B37" s="3"/>
      <c r="C37" s="3">
        <f>C33-B33</f>
        <v>2.3399999999999892</v>
      </c>
      <c r="D37" s="3"/>
      <c r="E37" s="3">
        <f>E33-D33</f>
        <v>16.909999999999997</v>
      </c>
      <c r="F37" s="3"/>
      <c r="G37" s="3">
        <f>G33-F33</f>
        <v>92.55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CE16-E7DF-4ED1-9494-2440D715F9C6}">
  <dimension ref="A1:G37"/>
  <sheetViews>
    <sheetView tabSelected="1" topLeftCell="A7" workbookViewId="0">
      <selection activeCell="J36" sqref="J3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775.33</v>
      </c>
      <c r="C2" s="1">
        <v>787.03</v>
      </c>
      <c r="D2" s="1">
        <v>807.91</v>
      </c>
      <c r="E2" s="1">
        <v>780.66</v>
      </c>
      <c r="F2" s="1">
        <v>742.14</v>
      </c>
      <c r="G2" s="1">
        <v>753.25</v>
      </c>
    </row>
    <row r="3" spans="1:7" x14ac:dyDescent="0.25">
      <c r="A3" s="1" t="s">
        <v>7</v>
      </c>
      <c r="B3" s="1">
        <v>60.18</v>
      </c>
      <c r="C3" s="1">
        <v>61.42</v>
      </c>
      <c r="D3" s="1">
        <v>61.24</v>
      </c>
      <c r="E3" s="1">
        <v>62.16</v>
      </c>
      <c r="F3" s="1">
        <v>59.56</v>
      </c>
      <c r="G3" s="1">
        <v>57.17</v>
      </c>
    </row>
    <row r="4" spans="1:7" x14ac:dyDescent="0.25">
      <c r="A4" s="1" t="s">
        <v>8</v>
      </c>
      <c r="B4" s="1">
        <v>47405.67</v>
      </c>
      <c r="C4" s="1">
        <v>49125.43</v>
      </c>
      <c r="D4" s="1">
        <v>50315.71</v>
      </c>
      <c r="E4" s="1">
        <v>49328.54</v>
      </c>
      <c r="F4" s="1">
        <v>44874.29</v>
      </c>
      <c r="G4" s="1">
        <v>43705.89</v>
      </c>
    </row>
    <row r="5" spans="1:7" x14ac:dyDescent="0.25">
      <c r="A5" s="1" t="s">
        <v>9</v>
      </c>
      <c r="B5" s="1">
        <v>903.51</v>
      </c>
      <c r="C5" s="1">
        <v>711.46</v>
      </c>
      <c r="D5" s="1">
        <v>333.53</v>
      </c>
      <c r="E5" s="1">
        <v>417.69</v>
      </c>
      <c r="F5" s="1">
        <v>526.08000000000004</v>
      </c>
      <c r="G5" s="1">
        <v>872.22</v>
      </c>
    </row>
    <row r="6" spans="1:7" x14ac:dyDescent="0.25">
      <c r="A6" s="3" t="s">
        <v>10</v>
      </c>
      <c r="B6" s="3">
        <v>90.35</v>
      </c>
      <c r="C6" s="3">
        <v>71.86</v>
      </c>
      <c r="D6" s="3">
        <v>33.69</v>
      </c>
      <c r="E6" s="3">
        <v>42.19</v>
      </c>
      <c r="F6" s="3">
        <v>53.14</v>
      </c>
      <c r="G6" s="3">
        <v>89</v>
      </c>
    </row>
    <row r="7" spans="1:7" x14ac:dyDescent="0.25">
      <c r="A7" s="1" t="s">
        <v>11</v>
      </c>
      <c r="B7" s="1">
        <v>769.49</v>
      </c>
      <c r="C7" s="1">
        <v>618.6</v>
      </c>
      <c r="D7" s="1">
        <v>276.33999999999997</v>
      </c>
      <c r="E7" s="1">
        <v>380.73</v>
      </c>
      <c r="F7" s="1">
        <v>490.82</v>
      </c>
      <c r="G7" s="1">
        <v>728.08</v>
      </c>
    </row>
    <row r="8" spans="1:7" x14ac:dyDescent="0.25">
      <c r="A8" s="1" t="s">
        <v>12</v>
      </c>
      <c r="B8" s="1">
        <v>76.95</v>
      </c>
      <c r="C8" s="1">
        <v>62.48</v>
      </c>
      <c r="D8" s="1">
        <v>27.91</v>
      </c>
      <c r="E8" s="1">
        <v>38.46</v>
      </c>
      <c r="F8" s="1">
        <v>49.58</v>
      </c>
      <c r="G8" s="1">
        <v>74.290000000000006</v>
      </c>
    </row>
    <row r="9" spans="1:7" x14ac:dyDescent="0.25">
      <c r="A9" s="1" t="s">
        <v>13</v>
      </c>
      <c r="B9" s="1">
        <v>252.81</v>
      </c>
      <c r="C9" s="1">
        <v>213.45</v>
      </c>
      <c r="D9" s="1">
        <v>95.51</v>
      </c>
      <c r="E9" s="1">
        <v>121.61</v>
      </c>
      <c r="F9" s="1">
        <v>118.78</v>
      </c>
      <c r="G9" s="1">
        <v>267.08</v>
      </c>
    </row>
    <row r="10" spans="1:7" x14ac:dyDescent="0.25">
      <c r="A10" s="1" t="s">
        <v>14</v>
      </c>
      <c r="B10" s="1">
        <v>25.28</v>
      </c>
      <c r="C10" s="1">
        <v>21.56</v>
      </c>
      <c r="D10" s="1">
        <v>9.65</v>
      </c>
      <c r="E10" s="1">
        <v>12.28</v>
      </c>
      <c r="F10" s="1">
        <v>12</v>
      </c>
      <c r="G10" s="1">
        <v>27.25</v>
      </c>
    </row>
    <row r="11" spans="1:7" x14ac:dyDescent="0.25">
      <c r="A11" s="1" t="s">
        <v>15</v>
      </c>
      <c r="B11" s="1">
        <v>151.54</v>
      </c>
      <c r="C11" s="1">
        <v>109.88</v>
      </c>
      <c r="D11" s="1">
        <v>45.25</v>
      </c>
      <c r="E11" s="1">
        <v>48.5</v>
      </c>
      <c r="F11" s="1">
        <v>51.75</v>
      </c>
      <c r="G11" s="1">
        <v>95.91</v>
      </c>
    </row>
    <row r="12" spans="1:7" x14ac:dyDescent="0.25">
      <c r="A12" s="1" t="s">
        <v>16</v>
      </c>
      <c r="B12" s="1">
        <v>465.33</v>
      </c>
      <c r="C12" s="1">
        <v>443.64</v>
      </c>
      <c r="D12" s="1">
        <v>434.85</v>
      </c>
      <c r="E12" s="1">
        <v>436.36</v>
      </c>
      <c r="F12" s="1">
        <v>346.82</v>
      </c>
      <c r="G12" s="1">
        <v>449.63</v>
      </c>
    </row>
    <row r="13" spans="1:7" x14ac:dyDescent="0.25">
      <c r="A13" s="1" t="s">
        <v>17</v>
      </c>
      <c r="B13" s="1">
        <v>26.2</v>
      </c>
      <c r="C13" s="1">
        <v>28.98</v>
      </c>
      <c r="D13" s="1">
        <v>19.95</v>
      </c>
      <c r="E13" s="1">
        <v>26.2</v>
      </c>
      <c r="F13" s="1">
        <v>65.91</v>
      </c>
      <c r="G13" s="1">
        <v>24.28</v>
      </c>
    </row>
    <row r="14" spans="1:7" x14ac:dyDescent="0.25">
      <c r="A14" s="1" t="s">
        <v>18</v>
      </c>
      <c r="B14" s="1">
        <v>80.180000000000007</v>
      </c>
      <c r="C14" s="1">
        <v>72.66</v>
      </c>
      <c r="D14" s="1">
        <v>78.11</v>
      </c>
      <c r="E14" s="1">
        <v>66.459999999999994</v>
      </c>
      <c r="F14" s="1">
        <v>141.53</v>
      </c>
      <c r="G14" s="1">
        <v>57.46</v>
      </c>
    </row>
    <row r="15" spans="1:7" x14ac:dyDescent="0.25">
      <c r="A15" s="1" t="s">
        <v>19</v>
      </c>
      <c r="B15" s="1">
        <v>4</v>
      </c>
      <c r="C15" s="1">
        <v>4</v>
      </c>
      <c r="D15" s="1">
        <v>1</v>
      </c>
      <c r="E15" s="1">
        <v>2</v>
      </c>
      <c r="F15" s="1">
        <v>4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511.15</v>
      </c>
      <c r="C17" s="1">
        <v>416.02</v>
      </c>
      <c r="D17" s="1">
        <v>185.92</v>
      </c>
      <c r="E17" s="1">
        <v>251.17</v>
      </c>
      <c r="F17" s="1">
        <v>304.8</v>
      </c>
      <c r="G17" s="1">
        <v>497.58</v>
      </c>
    </row>
    <row r="18" spans="1:7" x14ac:dyDescent="0.25">
      <c r="A18" s="1" t="s">
        <v>22</v>
      </c>
      <c r="B18" s="1">
        <v>258.33999999999997</v>
      </c>
      <c r="C18" s="1">
        <v>202.58</v>
      </c>
      <c r="D18" s="1">
        <v>90.42</v>
      </c>
      <c r="E18" s="1">
        <v>129.56</v>
      </c>
      <c r="F18" s="1">
        <v>186.02</v>
      </c>
      <c r="G18" s="1">
        <v>230.5</v>
      </c>
    </row>
    <row r="19" spans="1:7" x14ac:dyDescent="0.25">
      <c r="A19" s="1" t="s">
        <v>23</v>
      </c>
      <c r="B19" s="1">
        <v>4</v>
      </c>
      <c r="C19" s="1">
        <v>5</v>
      </c>
      <c r="D19" s="1">
        <v>5</v>
      </c>
      <c r="E19" s="1">
        <v>4</v>
      </c>
      <c r="F19" s="1">
        <v>4</v>
      </c>
      <c r="G19" s="1">
        <v>5</v>
      </c>
    </row>
    <row r="20" spans="1:7" x14ac:dyDescent="0.25">
      <c r="A20" s="1" t="s">
        <v>24</v>
      </c>
      <c r="B20" s="1">
        <v>3.3</v>
      </c>
      <c r="C20" s="1">
        <v>3.9</v>
      </c>
      <c r="D20" s="1">
        <v>4.0999999999999996</v>
      </c>
      <c r="E20" s="1">
        <v>4.2</v>
      </c>
      <c r="F20" s="1">
        <v>3.8</v>
      </c>
      <c r="G20" s="1">
        <v>4.5999999999999996</v>
      </c>
    </row>
    <row r="21" spans="1:7" x14ac:dyDescent="0.25">
      <c r="A21" s="1" t="s">
        <v>25</v>
      </c>
      <c r="B21" s="1">
        <v>6.8</v>
      </c>
      <c r="C21" s="1">
        <v>6.1</v>
      </c>
      <c r="D21" s="1">
        <v>5.9</v>
      </c>
      <c r="E21" s="1">
        <v>5.8</v>
      </c>
      <c r="F21" s="1">
        <v>6.2</v>
      </c>
      <c r="G21" s="1">
        <v>5.3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1.1000000000000001</v>
      </c>
      <c r="C24" s="1">
        <v>0</v>
      </c>
      <c r="D24" s="1">
        <v>0</v>
      </c>
      <c r="E24" s="1">
        <v>0</v>
      </c>
      <c r="F24" s="1">
        <v>1</v>
      </c>
      <c r="G24" s="1">
        <v>1.3</v>
      </c>
    </row>
    <row r="25" spans="1:7" x14ac:dyDescent="0.25">
      <c r="A25" s="1" t="s">
        <v>29</v>
      </c>
      <c r="B25" s="1">
        <v>6.6</v>
      </c>
      <c r="C25" s="1">
        <v>7.1</v>
      </c>
      <c r="D25" s="1">
        <v>8</v>
      </c>
      <c r="E25" s="1">
        <v>8.8000000000000007</v>
      </c>
      <c r="F25" s="1">
        <v>7.2</v>
      </c>
      <c r="G25" s="1">
        <v>6.3</v>
      </c>
    </row>
    <row r="26" spans="1:7" x14ac:dyDescent="0.25">
      <c r="A26" s="1" t="s">
        <v>30</v>
      </c>
      <c r="B26" s="1">
        <v>2.4</v>
      </c>
      <c r="C26" s="1">
        <v>2.9</v>
      </c>
      <c r="D26" s="1">
        <v>2</v>
      </c>
      <c r="E26" s="1">
        <v>1.2</v>
      </c>
      <c r="F26" s="1">
        <v>1.8</v>
      </c>
      <c r="G26" s="1">
        <v>2.2999999999999998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10.891089108910892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10</v>
      </c>
      <c r="G29" s="3">
        <f t="shared" si="1"/>
        <v>13.131313131313133</v>
      </c>
    </row>
    <row r="30" spans="1:7" x14ac:dyDescent="0.25">
      <c r="A30" s="3" t="s">
        <v>33</v>
      </c>
      <c r="B30" s="3">
        <f>B25/B28*100</f>
        <v>65.346534653465355</v>
      </c>
      <c r="C30" s="3">
        <f t="shared" ref="C30:G30" si="2">C25/C28*100</f>
        <v>71</v>
      </c>
      <c r="D30" s="3">
        <f t="shared" si="2"/>
        <v>80</v>
      </c>
      <c r="E30" s="3">
        <f t="shared" si="2"/>
        <v>88.000000000000014</v>
      </c>
      <c r="F30" s="3">
        <f t="shared" si="2"/>
        <v>72</v>
      </c>
      <c r="G30" s="3">
        <f t="shared" si="2"/>
        <v>63.636363636363647</v>
      </c>
    </row>
    <row r="31" spans="1:7" x14ac:dyDescent="0.25">
      <c r="A31" s="3" t="s">
        <v>34</v>
      </c>
      <c r="B31" s="3">
        <f>B26/B28*100</f>
        <v>23.762376237623762</v>
      </c>
      <c r="C31" s="3">
        <f t="shared" ref="C31:G31" si="3">C26/C28*100</f>
        <v>28.999999999999996</v>
      </c>
      <c r="D31" s="3">
        <f t="shared" si="3"/>
        <v>20</v>
      </c>
      <c r="E31" s="3">
        <f t="shared" si="3"/>
        <v>12</v>
      </c>
      <c r="F31" s="3">
        <f t="shared" si="3"/>
        <v>18</v>
      </c>
      <c r="G31" s="3">
        <f t="shared" si="3"/>
        <v>23.232323232323235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19.22</v>
      </c>
      <c r="C33" s="3">
        <v>14.58</v>
      </c>
      <c r="D33" s="3">
        <v>7.75</v>
      </c>
      <c r="E33" s="3">
        <v>9.19</v>
      </c>
      <c r="F33" s="3">
        <v>7.12</v>
      </c>
      <c r="G33" s="3">
        <v>17.920000000000002</v>
      </c>
    </row>
    <row r="35" spans="1:7" x14ac:dyDescent="0.25">
      <c r="A35" s="3" t="s">
        <v>36</v>
      </c>
      <c r="B35" s="3"/>
      <c r="C35" s="3"/>
      <c r="D35" s="3">
        <f>D33-C33</f>
        <v>-6.83</v>
      </c>
      <c r="E35" s="3"/>
      <c r="F35" s="3">
        <f>F33-E33</f>
        <v>-2.0699999999999994</v>
      </c>
      <c r="G35" s="3"/>
    </row>
    <row r="37" spans="1:7" x14ac:dyDescent="0.25">
      <c r="A37" s="3" t="s">
        <v>36</v>
      </c>
      <c r="B37" s="3"/>
      <c r="C37" s="3">
        <f>C33-B33</f>
        <v>-4.6399999999999988</v>
      </c>
      <c r="D37" s="3"/>
      <c r="E37" s="3">
        <f>E33-D33</f>
        <v>1.4399999999999995</v>
      </c>
      <c r="F37" s="3"/>
      <c r="G37" s="3">
        <f>G33-F33</f>
        <v>10.8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9999-9E06-4E23-8F0B-56A001EBC8C4}">
  <dimension ref="A1:G37"/>
  <sheetViews>
    <sheetView workbookViewId="0">
      <selection activeCell="L13" sqref="L1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230901B001.1</vt:lpstr>
      <vt:lpstr>230901B001.2</vt:lpstr>
      <vt:lpstr>230901B001.3</vt:lpstr>
      <vt:lpstr>230901B002.1</vt:lpstr>
      <vt:lpstr>230901B002.2</vt:lpstr>
      <vt:lpstr>230901B002.3</vt:lpstr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2023-09-18T19:44:52Z</dcterms:created>
  <dcterms:modified xsi:type="dcterms:W3CDTF">2023-09-19T21:46:49Z</dcterms:modified>
</cp:coreProperties>
</file>