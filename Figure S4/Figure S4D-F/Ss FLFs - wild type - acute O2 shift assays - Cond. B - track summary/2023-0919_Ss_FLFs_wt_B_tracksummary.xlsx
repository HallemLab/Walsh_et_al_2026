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FLFs\wild-type\2023-0919\WormLab Data\"/>
    </mc:Choice>
  </mc:AlternateContent>
  <xr:revisionPtr revIDLastSave="0" documentId="13_ncr:1_{70516793-3FBF-4898-A4E5-5DD44B3B74D9}" xr6:coauthVersionLast="36" xr6:coauthVersionMax="36" xr10:uidLastSave="{00000000-0000-0000-0000-000000000000}"/>
  <bookViews>
    <workbookView xWindow="0" yWindow="0" windowWidth="25755" windowHeight="11640" firstSheet="1" activeTab="8" xr2:uid="{86F19CFF-86A3-437D-AEAF-CECB3B5097C0}"/>
  </bookViews>
  <sheets>
    <sheet name="230919B002.1" sheetId="2" r:id="rId1"/>
    <sheet name="230919B002.2" sheetId="3" r:id="rId2"/>
    <sheet name="230919B002.3" sheetId="4" r:id="rId3"/>
    <sheet name="230919B003.1" sheetId="5" r:id="rId4"/>
    <sheet name="230919B003.2" sheetId="6" r:id="rId5"/>
    <sheet name="230919B003.3" sheetId="7" r:id="rId6"/>
    <sheet name="230919B004.1" sheetId="8" r:id="rId7"/>
    <sheet name="230919B004.2" sheetId="9" r:id="rId8"/>
    <sheet name="230919B004.3" sheetId="10" r:id="rId9"/>
    <sheet name="template" sheetId="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0" l="1"/>
  <c r="E37" i="10"/>
  <c r="C37" i="10"/>
  <c r="F35" i="10"/>
  <c r="D35" i="10"/>
  <c r="F31" i="10"/>
  <c r="B31" i="10"/>
  <c r="F30" i="10"/>
  <c r="E30" i="10"/>
  <c r="D30" i="10"/>
  <c r="C30" i="10"/>
  <c r="B30" i="10"/>
  <c r="F29" i="10"/>
  <c r="E29" i="10"/>
  <c r="D29" i="10"/>
  <c r="G28" i="10"/>
  <c r="G31" i="10" s="1"/>
  <c r="F28" i="10"/>
  <c r="E28" i="10"/>
  <c r="E31" i="10" s="1"/>
  <c r="D28" i="10"/>
  <c r="D31" i="10" s="1"/>
  <c r="C28" i="10"/>
  <c r="C29" i="10" s="1"/>
  <c r="B28" i="10"/>
  <c r="B29" i="10" s="1"/>
  <c r="G37" i="9"/>
  <c r="E37" i="9"/>
  <c r="C37" i="9"/>
  <c r="F35" i="9"/>
  <c r="D35" i="9"/>
  <c r="B31" i="9"/>
  <c r="B30" i="9"/>
  <c r="G29" i="9"/>
  <c r="F29" i="9"/>
  <c r="G28" i="9"/>
  <c r="G31" i="9" s="1"/>
  <c r="F28" i="9"/>
  <c r="F31" i="9" s="1"/>
  <c r="E28" i="9"/>
  <c r="E31" i="9" s="1"/>
  <c r="D28" i="9"/>
  <c r="D29" i="9" s="1"/>
  <c r="C28" i="9"/>
  <c r="C29" i="9" s="1"/>
  <c r="B28" i="9"/>
  <c r="B29" i="9" s="1"/>
  <c r="G37" i="8"/>
  <c r="E37" i="8"/>
  <c r="C37" i="8"/>
  <c r="F35" i="8"/>
  <c r="D35" i="8"/>
  <c r="G28" i="8"/>
  <c r="G31" i="8" s="1"/>
  <c r="F28" i="8"/>
  <c r="F31" i="8" s="1"/>
  <c r="E28" i="8"/>
  <c r="E31" i="8" s="1"/>
  <c r="D28" i="8"/>
  <c r="D29" i="8" s="1"/>
  <c r="C28" i="8"/>
  <c r="C31" i="8" s="1"/>
  <c r="B28" i="8"/>
  <c r="B29" i="8" s="1"/>
  <c r="G37" i="7"/>
  <c r="E37" i="7"/>
  <c r="C37" i="7"/>
  <c r="F35" i="7"/>
  <c r="D35" i="7"/>
  <c r="E31" i="7"/>
  <c r="D31" i="7"/>
  <c r="C31" i="7"/>
  <c r="B31" i="7"/>
  <c r="E30" i="7"/>
  <c r="D30" i="7"/>
  <c r="C30" i="7"/>
  <c r="B30" i="7"/>
  <c r="F29" i="7"/>
  <c r="E29" i="7"/>
  <c r="G28" i="7"/>
  <c r="G31" i="7" s="1"/>
  <c r="F28" i="7"/>
  <c r="F31" i="7" s="1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E31" i="6"/>
  <c r="C30" i="6"/>
  <c r="B30" i="6"/>
  <c r="G28" i="6"/>
  <c r="G31" i="6" s="1"/>
  <c r="F28" i="6"/>
  <c r="F30" i="6" s="1"/>
  <c r="E28" i="6"/>
  <c r="E29" i="6" s="1"/>
  <c r="D28" i="6"/>
  <c r="D29" i="6" s="1"/>
  <c r="C28" i="6"/>
  <c r="C29" i="6" s="1"/>
  <c r="B28" i="6"/>
  <c r="B29" i="6" s="1"/>
  <c r="G37" i="5"/>
  <c r="E37" i="5"/>
  <c r="C37" i="5"/>
  <c r="F35" i="5"/>
  <c r="D35" i="5"/>
  <c r="E31" i="5"/>
  <c r="E30" i="5"/>
  <c r="G28" i="5"/>
  <c r="G31" i="5" s="1"/>
  <c r="F28" i="5"/>
  <c r="F31" i="5" s="1"/>
  <c r="E28" i="5"/>
  <c r="E29" i="5" s="1"/>
  <c r="D28" i="5"/>
  <c r="D31" i="5" s="1"/>
  <c r="C28" i="5"/>
  <c r="C31" i="5" s="1"/>
  <c r="B28" i="5"/>
  <c r="B31" i="5" s="1"/>
  <c r="G37" i="4"/>
  <c r="E37" i="4"/>
  <c r="C37" i="4"/>
  <c r="F35" i="4"/>
  <c r="D35" i="4"/>
  <c r="E31" i="4"/>
  <c r="C31" i="4"/>
  <c r="B31" i="4"/>
  <c r="E30" i="4"/>
  <c r="D30" i="4"/>
  <c r="C30" i="4"/>
  <c r="B30" i="4"/>
  <c r="E29" i="4"/>
  <c r="G28" i="4"/>
  <c r="G31" i="4" s="1"/>
  <c r="F28" i="4"/>
  <c r="F30" i="4" s="1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E31" i="3"/>
  <c r="D31" i="3"/>
  <c r="C31" i="3"/>
  <c r="B31" i="3"/>
  <c r="E30" i="3"/>
  <c r="D30" i="3"/>
  <c r="C30" i="3"/>
  <c r="B30" i="3"/>
  <c r="E29" i="3"/>
  <c r="G28" i="3"/>
  <c r="G31" i="3" s="1"/>
  <c r="F28" i="3"/>
  <c r="F31" i="3" s="1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31" i="1" s="1"/>
  <c r="G29" i="10" l="1"/>
  <c r="C31" i="10"/>
  <c r="G30" i="10"/>
  <c r="E29" i="9"/>
  <c r="C30" i="9"/>
  <c r="D30" i="9"/>
  <c r="E30" i="9"/>
  <c r="F30" i="9"/>
  <c r="G30" i="9"/>
  <c r="C31" i="9"/>
  <c r="D31" i="9"/>
  <c r="C30" i="8"/>
  <c r="C29" i="8"/>
  <c r="E30" i="8"/>
  <c r="E29" i="8"/>
  <c r="G29" i="8"/>
  <c r="F29" i="8"/>
  <c r="B30" i="8"/>
  <c r="D30" i="8"/>
  <c r="F30" i="8"/>
  <c r="G30" i="8"/>
  <c r="B31" i="8"/>
  <c r="D31" i="8"/>
  <c r="F30" i="7"/>
  <c r="G29" i="7"/>
  <c r="G30" i="7"/>
  <c r="G29" i="6"/>
  <c r="D30" i="6"/>
  <c r="F31" i="6"/>
  <c r="F29" i="6"/>
  <c r="D31" i="6"/>
  <c r="E30" i="6"/>
  <c r="B31" i="6"/>
  <c r="G30" i="6"/>
  <c r="C31" i="6"/>
  <c r="C29" i="5"/>
  <c r="B30" i="5"/>
  <c r="D30" i="5"/>
  <c r="B29" i="5"/>
  <c r="D29" i="5"/>
  <c r="F29" i="5"/>
  <c r="C30" i="5"/>
  <c r="F30" i="5"/>
  <c r="G29" i="5"/>
  <c r="G30" i="5"/>
  <c r="G29" i="4"/>
  <c r="F29" i="4"/>
  <c r="F31" i="4"/>
  <c r="G30" i="4"/>
  <c r="D31" i="4"/>
  <c r="F29" i="3"/>
  <c r="G29" i="3"/>
  <c r="G30" i="3"/>
  <c r="F30" i="3"/>
  <c r="E29" i="1"/>
  <c r="F29" i="1"/>
  <c r="B29" i="1"/>
  <c r="C29" i="1"/>
  <c r="G29" i="1"/>
  <c r="B30" i="1"/>
  <c r="C30" i="1"/>
  <c r="D29" i="1"/>
  <c r="D30" i="1"/>
  <c r="E30" i="1"/>
  <c r="F30" i="1"/>
  <c r="G30" i="1"/>
</calcChain>
</file>

<file path=xl/sharedStrings.xml><?xml version="1.0" encoding="utf-8"?>
<sst xmlns="http://schemas.openxmlformats.org/spreadsheetml/2006/main" count="380" uniqueCount="37">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</sst>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B6D5-69AF-4E8B-A429-57CE75E3E838}">
  <dimension ref="A1:G37"/>
  <sheetViews>
    <sheetView topLeftCell="A10" workbookViewId="0">
      <selection activeCell="A44" sqref="A4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814.42</v>
      </c>
      <c r="C2" s="1">
        <v>810.33</v>
      </c>
      <c r="D2" s="1">
        <v>792.88</v>
      </c>
      <c r="E2" s="1">
        <v>767.73</v>
      </c>
      <c r="F2" s="1">
        <v>637.58000000000004</v>
      </c>
      <c r="G2" s="1">
        <v>808.39</v>
      </c>
    </row>
    <row r="3" spans="1:7" x14ac:dyDescent="0.25">
      <c r="A3" s="1" t="s">
        <v>7</v>
      </c>
      <c r="B3" s="1">
        <v>53.95</v>
      </c>
      <c r="C3" s="1">
        <v>52.85</v>
      </c>
      <c r="D3" s="1">
        <v>52.71</v>
      </c>
      <c r="E3" s="1">
        <v>50.84</v>
      </c>
      <c r="F3" s="1">
        <v>56.39</v>
      </c>
      <c r="G3" s="1">
        <v>55.48</v>
      </c>
    </row>
    <row r="4" spans="1:7" x14ac:dyDescent="0.25">
      <c r="A4" s="1" t="s">
        <v>8</v>
      </c>
      <c r="B4" s="1">
        <v>44691.77</v>
      </c>
      <c r="C4" s="1">
        <v>43553.46</v>
      </c>
      <c r="D4" s="1">
        <v>42485.21</v>
      </c>
      <c r="E4" s="1">
        <v>39678.82</v>
      </c>
      <c r="F4" s="1">
        <v>36374.68</v>
      </c>
      <c r="G4" s="1">
        <v>45610.38</v>
      </c>
    </row>
    <row r="5" spans="1:7" x14ac:dyDescent="0.25">
      <c r="A5" s="1" t="s">
        <v>9</v>
      </c>
      <c r="B5" s="1">
        <v>1394.11</v>
      </c>
      <c r="C5" s="1">
        <v>1196.29</v>
      </c>
      <c r="D5" s="1">
        <v>827.11</v>
      </c>
      <c r="E5" s="1">
        <v>741.34</v>
      </c>
      <c r="F5" s="1">
        <v>976.95</v>
      </c>
      <c r="G5" s="1">
        <v>1273.99</v>
      </c>
    </row>
    <row r="6" spans="1:7" x14ac:dyDescent="0.25">
      <c r="A6" s="3" t="s">
        <v>10</v>
      </c>
      <c r="B6" s="3">
        <v>139.41</v>
      </c>
      <c r="C6" s="3">
        <v>120.84</v>
      </c>
      <c r="D6" s="3">
        <v>83.55</v>
      </c>
      <c r="E6" s="3">
        <v>74.88</v>
      </c>
      <c r="F6" s="3">
        <v>98.68</v>
      </c>
      <c r="G6" s="3">
        <v>130</v>
      </c>
    </row>
    <row r="7" spans="1:7" x14ac:dyDescent="0.25">
      <c r="A7" s="1" t="s">
        <v>11</v>
      </c>
      <c r="B7" s="1">
        <v>1385.12</v>
      </c>
      <c r="C7" s="1">
        <v>1185.29</v>
      </c>
      <c r="D7" s="1">
        <v>815.55</v>
      </c>
      <c r="E7" s="1">
        <v>720.87</v>
      </c>
      <c r="F7" s="1">
        <v>875.13</v>
      </c>
      <c r="G7" s="1">
        <v>1265.18</v>
      </c>
    </row>
    <row r="8" spans="1:7" x14ac:dyDescent="0.25">
      <c r="A8" s="1" t="s">
        <v>12</v>
      </c>
      <c r="B8" s="1">
        <v>138.51</v>
      </c>
      <c r="C8" s="1">
        <v>119.73</v>
      </c>
      <c r="D8" s="1">
        <v>82.38</v>
      </c>
      <c r="E8" s="1">
        <v>72.819999999999993</v>
      </c>
      <c r="F8" s="1">
        <v>88.4</v>
      </c>
      <c r="G8" s="1">
        <v>129.1</v>
      </c>
    </row>
    <row r="9" spans="1:7" x14ac:dyDescent="0.25">
      <c r="A9" s="1" t="s">
        <v>13</v>
      </c>
      <c r="B9" s="1">
        <v>1385.12</v>
      </c>
      <c r="C9" s="1">
        <v>1185.29</v>
      </c>
      <c r="D9" s="1">
        <v>794.57</v>
      </c>
      <c r="E9" s="1">
        <v>677.72</v>
      </c>
      <c r="F9" s="1">
        <v>-544.39</v>
      </c>
      <c r="G9" s="1">
        <v>1265.18</v>
      </c>
    </row>
    <row r="10" spans="1:7" x14ac:dyDescent="0.25">
      <c r="A10" s="1" t="s">
        <v>14</v>
      </c>
      <c r="B10" s="1">
        <v>138.51</v>
      </c>
      <c r="C10" s="1">
        <v>119.73</v>
      </c>
      <c r="D10" s="1">
        <v>80.260000000000005</v>
      </c>
      <c r="E10" s="1">
        <v>68.459999999999994</v>
      </c>
      <c r="F10" s="1">
        <v>-54.99</v>
      </c>
      <c r="G10" s="1">
        <v>129.1</v>
      </c>
    </row>
    <row r="11" spans="1:7" x14ac:dyDescent="0.25">
      <c r="A11" s="1" t="s">
        <v>15</v>
      </c>
      <c r="B11" s="1">
        <v>1257.99</v>
      </c>
      <c r="C11" s="1">
        <v>1066.83</v>
      </c>
      <c r="D11" s="1">
        <v>671.62</v>
      </c>
      <c r="E11" s="1">
        <v>613.47</v>
      </c>
      <c r="F11" s="1">
        <v>398.53</v>
      </c>
      <c r="G11" s="1">
        <v>1139.1199999999999</v>
      </c>
    </row>
    <row r="12" spans="1:7" x14ac:dyDescent="0.25">
      <c r="A12" s="1" t="s">
        <v>16</v>
      </c>
      <c r="B12" s="1">
        <v>410.57</v>
      </c>
      <c r="C12" s="1">
        <v>421.35</v>
      </c>
      <c r="D12" s="1">
        <v>390.62</v>
      </c>
      <c r="E12" s="1">
        <v>427</v>
      </c>
      <c r="F12" s="1">
        <v>278.25</v>
      </c>
      <c r="G12" s="1">
        <v>437.61</v>
      </c>
    </row>
    <row r="13" spans="1:7" x14ac:dyDescent="0.25">
      <c r="A13" s="1" t="s">
        <v>17</v>
      </c>
      <c r="B13" s="1">
        <v>23.76</v>
      </c>
      <c r="C13" s="1">
        <v>26.29</v>
      </c>
      <c r="D13" s="1">
        <v>36.770000000000003</v>
      </c>
      <c r="E13" s="1">
        <v>24.11</v>
      </c>
      <c r="F13" s="1">
        <v>46.04</v>
      </c>
      <c r="G13" s="1">
        <v>27.81</v>
      </c>
    </row>
    <row r="14" spans="1:7" x14ac:dyDescent="0.25">
      <c r="A14" s="1" t="s">
        <v>18</v>
      </c>
      <c r="B14" s="1">
        <v>57.84</v>
      </c>
      <c r="C14" s="1">
        <v>59.96</v>
      </c>
      <c r="D14" s="1">
        <v>91.26</v>
      </c>
      <c r="E14" s="1">
        <v>64.56</v>
      </c>
      <c r="F14" s="1">
        <v>104.62</v>
      </c>
      <c r="G14" s="1">
        <v>70.83</v>
      </c>
    </row>
    <row r="15" spans="1:7" x14ac:dyDescent="0.25">
      <c r="A15" s="1" t="s">
        <v>19</v>
      </c>
      <c r="B15" s="1">
        <v>1</v>
      </c>
      <c r="C15" s="1">
        <v>3</v>
      </c>
      <c r="D15" s="1">
        <v>2</v>
      </c>
      <c r="E15" s="1">
        <v>1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1385.12</v>
      </c>
      <c r="C17" s="1">
        <v>1185.29</v>
      </c>
      <c r="D17" s="1">
        <v>805.06</v>
      </c>
      <c r="E17" s="1">
        <v>699.3</v>
      </c>
      <c r="F17" s="1">
        <v>165.37</v>
      </c>
      <c r="G17" s="1">
        <v>1265.18</v>
      </c>
    </row>
    <row r="18" spans="1:7" x14ac:dyDescent="0.25">
      <c r="A18" s="1" t="s">
        <v>22</v>
      </c>
      <c r="B18" s="1">
        <v>0</v>
      </c>
      <c r="C18" s="1">
        <v>0</v>
      </c>
      <c r="D18" s="1">
        <v>10.49</v>
      </c>
      <c r="E18" s="1">
        <v>21.58</v>
      </c>
      <c r="F18" s="1">
        <v>709.76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3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0.6</v>
      </c>
      <c r="F20" s="1">
        <v>7.3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9.4</v>
      </c>
      <c r="F21" s="1">
        <v>2.7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3.8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38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137.21</v>
      </c>
      <c r="C33" s="3">
        <v>121.01</v>
      </c>
      <c r="D33" s="3">
        <v>81.349999999999994</v>
      </c>
      <c r="E33" s="3">
        <v>69.88</v>
      </c>
      <c r="F33" s="3">
        <v>-53.07</v>
      </c>
      <c r="G33" s="3">
        <v>131.41999999999999</v>
      </c>
    </row>
    <row r="35" spans="1:7" x14ac:dyDescent="0.25">
      <c r="A35" s="3" t="s">
        <v>36</v>
      </c>
      <c r="B35" s="3"/>
      <c r="C35" s="3"/>
      <c r="D35" s="3">
        <f>D33-C33</f>
        <v>-39.660000000000011</v>
      </c>
      <c r="E35" s="3"/>
      <c r="F35" s="3">
        <f>F33-E33</f>
        <v>-122.94999999999999</v>
      </c>
      <c r="G35" s="3"/>
    </row>
    <row r="37" spans="1:7" x14ac:dyDescent="0.25">
      <c r="A37" s="3" t="s">
        <v>36</v>
      </c>
      <c r="B37" s="3"/>
      <c r="C37" s="3">
        <f>C33-B33</f>
        <v>-16.200000000000003</v>
      </c>
      <c r="D37" s="3"/>
      <c r="E37" s="3">
        <f>E33-D33</f>
        <v>-11.469999999999999</v>
      </c>
      <c r="F37" s="3"/>
      <c r="G37" s="3">
        <f>G33-F33</f>
        <v>184.48999999999998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96EF-E199-4E43-8DAA-DEAF6B1756D0}">
  <dimension ref="A1:G37"/>
  <sheetViews>
    <sheetView topLeftCell="A7" workbookViewId="0">
      <selection activeCell="Q35" sqref="Q3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750.78</v>
      </c>
      <c r="C2" s="1">
        <v>723.67</v>
      </c>
      <c r="D2" s="1">
        <v>741.99</v>
      </c>
      <c r="E2" s="1">
        <v>647.01</v>
      </c>
      <c r="F2" s="1">
        <v>656.73</v>
      </c>
      <c r="G2" s="1">
        <v>747.59</v>
      </c>
    </row>
    <row r="3" spans="1:7" x14ac:dyDescent="0.25">
      <c r="A3" s="1" t="s">
        <v>7</v>
      </c>
      <c r="B3" s="1">
        <v>58.56</v>
      </c>
      <c r="C3" s="1">
        <v>55.6</v>
      </c>
      <c r="D3" s="1">
        <v>56.58</v>
      </c>
      <c r="E3" s="1">
        <v>60.16</v>
      </c>
      <c r="F3" s="1">
        <v>59.79</v>
      </c>
      <c r="G3" s="1">
        <v>55.15</v>
      </c>
    </row>
    <row r="4" spans="1:7" x14ac:dyDescent="0.25">
      <c r="A4" s="1" t="s">
        <v>8</v>
      </c>
      <c r="B4" s="1">
        <v>44679.57</v>
      </c>
      <c r="C4" s="1">
        <v>40822.699999999997</v>
      </c>
      <c r="D4" s="1">
        <v>42671.98</v>
      </c>
      <c r="E4" s="1">
        <v>39308.519999999997</v>
      </c>
      <c r="F4" s="1">
        <v>39552.82</v>
      </c>
      <c r="G4" s="1">
        <v>41908.870000000003</v>
      </c>
    </row>
    <row r="5" spans="1:7" x14ac:dyDescent="0.25">
      <c r="A5" s="1" t="s">
        <v>9</v>
      </c>
      <c r="B5" s="1">
        <v>1546.63</v>
      </c>
      <c r="C5" s="1">
        <v>1112.75</v>
      </c>
      <c r="D5" s="1">
        <v>840.56</v>
      </c>
      <c r="E5" s="1">
        <v>834.64</v>
      </c>
      <c r="F5" s="1">
        <v>808.38</v>
      </c>
      <c r="G5" s="1">
        <v>1239.81</v>
      </c>
    </row>
    <row r="6" spans="1:7" x14ac:dyDescent="0.25">
      <c r="A6" s="3" t="s">
        <v>10</v>
      </c>
      <c r="B6" s="3">
        <v>154.66</v>
      </c>
      <c r="C6" s="3">
        <v>112.4</v>
      </c>
      <c r="D6" s="3">
        <v>84.9</v>
      </c>
      <c r="E6" s="3">
        <v>84.31</v>
      </c>
      <c r="F6" s="3">
        <v>81.650000000000006</v>
      </c>
      <c r="G6" s="3">
        <v>126.51</v>
      </c>
    </row>
    <row r="7" spans="1:7" x14ac:dyDescent="0.25">
      <c r="A7" s="1" t="s">
        <v>11</v>
      </c>
      <c r="B7" s="1">
        <v>1500.1</v>
      </c>
      <c r="C7" s="1">
        <v>1081.25</v>
      </c>
      <c r="D7" s="1">
        <v>818.61</v>
      </c>
      <c r="E7" s="1">
        <v>749.82</v>
      </c>
      <c r="F7" s="1">
        <v>752.73</v>
      </c>
      <c r="G7" s="1">
        <v>1205.3800000000001</v>
      </c>
    </row>
    <row r="8" spans="1:7" x14ac:dyDescent="0.25">
      <c r="A8" s="1" t="s">
        <v>12</v>
      </c>
      <c r="B8" s="1">
        <v>150.01</v>
      </c>
      <c r="C8" s="1">
        <v>109.22</v>
      </c>
      <c r="D8" s="1">
        <v>82.69</v>
      </c>
      <c r="E8" s="1">
        <v>75.739999999999995</v>
      </c>
      <c r="F8" s="1">
        <v>76.03</v>
      </c>
      <c r="G8" s="1">
        <v>123</v>
      </c>
    </row>
    <row r="9" spans="1:7" x14ac:dyDescent="0.25">
      <c r="A9" s="1" t="s">
        <v>13</v>
      </c>
      <c r="B9" s="1">
        <v>1500.1</v>
      </c>
      <c r="C9" s="1">
        <v>883.19</v>
      </c>
      <c r="D9" s="1">
        <v>722.82</v>
      </c>
      <c r="E9" s="1">
        <v>-428.68</v>
      </c>
      <c r="F9" s="1">
        <v>602.94000000000005</v>
      </c>
      <c r="G9" s="1">
        <v>1205.3800000000001</v>
      </c>
    </row>
    <row r="10" spans="1:7" x14ac:dyDescent="0.25">
      <c r="A10" s="1" t="s">
        <v>14</v>
      </c>
      <c r="B10" s="1">
        <v>150.01</v>
      </c>
      <c r="C10" s="1">
        <v>89.21</v>
      </c>
      <c r="D10" s="1">
        <v>73.010000000000005</v>
      </c>
      <c r="E10" s="1">
        <v>-43.3</v>
      </c>
      <c r="F10" s="1">
        <v>60.9</v>
      </c>
      <c r="G10" s="1">
        <v>123</v>
      </c>
    </row>
    <row r="11" spans="1:7" x14ac:dyDescent="0.25">
      <c r="A11" s="1" t="s">
        <v>15</v>
      </c>
      <c r="B11" s="1">
        <v>1224.06</v>
      </c>
      <c r="C11" s="1">
        <v>589.26</v>
      </c>
      <c r="D11" s="1">
        <v>510.13</v>
      </c>
      <c r="E11" s="1">
        <v>254.19</v>
      </c>
      <c r="F11" s="1">
        <v>401.62</v>
      </c>
      <c r="G11" s="1">
        <v>1033.93</v>
      </c>
    </row>
    <row r="12" spans="1:7" x14ac:dyDescent="0.25">
      <c r="A12" s="1" t="s">
        <v>16</v>
      </c>
      <c r="B12" s="1">
        <v>404.25</v>
      </c>
      <c r="C12" s="1">
        <v>384.09</v>
      </c>
      <c r="D12" s="1">
        <v>361.31</v>
      </c>
      <c r="E12" s="1">
        <v>282.41000000000003</v>
      </c>
      <c r="F12" s="1">
        <v>291.70999999999998</v>
      </c>
      <c r="G12" s="1">
        <v>378.33</v>
      </c>
    </row>
    <row r="13" spans="1:7" x14ac:dyDescent="0.25">
      <c r="A13" s="1" t="s">
        <v>17</v>
      </c>
      <c r="B13" s="1">
        <v>52.82</v>
      </c>
      <c r="C13" s="1">
        <v>56.16</v>
      </c>
      <c r="D13" s="1">
        <v>45.3</v>
      </c>
      <c r="E13" s="1">
        <v>65.38</v>
      </c>
      <c r="F13" s="1">
        <v>67.099999999999994</v>
      </c>
      <c r="G13" s="1">
        <v>40.75</v>
      </c>
    </row>
    <row r="14" spans="1:7" x14ac:dyDescent="0.25">
      <c r="A14" s="1" t="s">
        <v>18</v>
      </c>
      <c r="B14" s="1">
        <v>96.72</v>
      </c>
      <c r="C14" s="1">
        <v>99.67</v>
      </c>
      <c r="D14" s="1">
        <v>80.400000000000006</v>
      </c>
      <c r="E14" s="1">
        <v>115.44</v>
      </c>
      <c r="F14" s="1">
        <v>129.91</v>
      </c>
      <c r="G14" s="1">
        <v>96.05</v>
      </c>
    </row>
    <row r="15" spans="1:7" x14ac:dyDescent="0.25">
      <c r="A15" s="1" t="s">
        <v>19</v>
      </c>
      <c r="B15" s="1">
        <v>6</v>
      </c>
      <c r="C15" s="1">
        <v>2</v>
      </c>
      <c r="D15" s="1">
        <v>3</v>
      </c>
      <c r="E15" s="1">
        <v>3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1500.1</v>
      </c>
      <c r="C17" s="1">
        <v>982.22</v>
      </c>
      <c r="D17" s="1">
        <v>770.72</v>
      </c>
      <c r="E17" s="1">
        <v>160.57</v>
      </c>
      <c r="F17" s="1">
        <v>677.84</v>
      </c>
      <c r="G17" s="1">
        <v>1205.3800000000001</v>
      </c>
    </row>
    <row r="18" spans="1:7" x14ac:dyDescent="0.25">
      <c r="A18" s="1" t="s">
        <v>22</v>
      </c>
      <c r="B18" s="1">
        <v>0</v>
      </c>
      <c r="C18" s="1">
        <v>99.03</v>
      </c>
      <c r="D18" s="1">
        <v>47.9</v>
      </c>
      <c r="E18" s="1">
        <v>589.25</v>
      </c>
      <c r="F18" s="1">
        <v>74.89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1</v>
      </c>
      <c r="E19" s="1">
        <v>4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1.8</v>
      </c>
      <c r="D20" s="1">
        <v>2</v>
      </c>
      <c r="E20" s="1">
        <v>5.3</v>
      </c>
      <c r="F20" s="1">
        <v>1.5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8.1999999999999993</v>
      </c>
      <c r="D21" s="1">
        <v>8</v>
      </c>
      <c r="E21" s="1">
        <v>4.7</v>
      </c>
      <c r="F21" s="1">
        <v>8.5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1.9</v>
      </c>
      <c r="F23" s="1">
        <v>1.1000000000000001</v>
      </c>
      <c r="G23" s="1">
        <v>0</v>
      </c>
    </row>
    <row r="24" spans="1:7" x14ac:dyDescent="0.25">
      <c r="A24" s="1" t="s">
        <v>28</v>
      </c>
      <c r="B24" s="1">
        <v>0</v>
      </c>
      <c r="C24" s="1">
        <v>1.5</v>
      </c>
      <c r="D24" s="1">
        <v>2.5</v>
      </c>
      <c r="E24" s="1">
        <v>3.4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2.2999999999999998</v>
      </c>
      <c r="F25" s="1">
        <v>3.4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8.5</v>
      </c>
      <c r="D26" s="1">
        <v>7.5</v>
      </c>
      <c r="E26" s="1">
        <v>4.3</v>
      </c>
      <c r="F26" s="1">
        <v>6.6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15</v>
      </c>
      <c r="D29" s="3">
        <f t="shared" si="1"/>
        <v>25</v>
      </c>
      <c r="E29" s="3">
        <f t="shared" si="1"/>
        <v>34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23</v>
      </c>
      <c r="F30" s="3">
        <f t="shared" si="2"/>
        <v>34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85</v>
      </c>
      <c r="D31" s="3">
        <f t="shared" si="3"/>
        <v>75</v>
      </c>
      <c r="E31" s="3">
        <f t="shared" si="3"/>
        <v>43</v>
      </c>
      <c r="F31" s="3">
        <f t="shared" si="3"/>
        <v>65.999999999999986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151.63</v>
      </c>
      <c r="C33" s="3">
        <v>74.41</v>
      </c>
      <c r="D33" s="3">
        <v>64.900000000000006</v>
      </c>
      <c r="E33" s="3">
        <v>-19.399999999999999</v>
      </c>
      <c r="F33" s="3">
        <v>58.12</v>
      </c>
      <c r="G33" s="3">
        <v>126.33</v>
      </c>
    </row>
    <row r="35" spans="1:7" x14ac:dyDescent="0.25">
      <c r="A35" s="3" t="s">
        <v>36</v>
      </c>
      <c r="B35" s="3"/>
      <c r="C35" s="3"/>
      <c r="D35" s="3">
        <f>D33-C33</f>
        <v>-9.5099999999999909</v>
      </c>
      <c r="E35" s="3"/>
      <c r="F35" s="3">
        <f>F33-E33</f>
        <v>77.52</v>
      </c>
      <c r="G35" s="3"/>
    </row>
    <row r="37" spans="1:7" x14ac:dyDescent="0.25">
      <c r="A37" s="3" t="s">
        <v>36</v>
      </c>
      <c r="B37" s="3"/>
      <c r="C37" s="3">
        <f>C33-B33</f>
        <v>-77.22</v>
      </c>
      <c r="D37" s="3"/>
      <c r="E37" s="3">
        <f>E33-D33</f>
        <v>-84.300000000000011</v>
      </c>
      <c r="F37" s="3"/>
      <c r="G37" s="3">
        <f>G33-F33</f>
        <v>68.210000000000008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9C46-B66B-4631-A8E3-D38651560EB5}">
  <dimension ref="A1:G37"/>
  <sheetViews>
    <sheetView topLeftCell="A10" workbookViewId="0">
      <selection activeCell="N29" sqref="N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744.38</v>
      </c>
      <c r="C2" s="1">
        <v>737.41</v>
      </c>
      <c r="D2" s="1">
        <v>682.39</v>
      </c>
      <c r="E2" s="1">
        <v>536.97</v>
      </c>
      <c r="F2" s="1">
        <v>714.13</v>
      </c>
      <c r="G2" s="1">
        <v>752.14</v>
      </c>
    </row>
    <row r="3" spans="1:7" x14ac:dyDescent="0.25">
      <c r="A3" s="1" t="s">
        <v>7</v>
      </c>
      <c r="B3" s="1">
        <v>58.28</v>
      </c>
      <c r="C3" s="1">
        <v>61.44</v>
      </c>
      <c r="D3" s="1">
        <v>64.430000000000007</v>
      </c>
      <c r="E3" s="1">
        <v>73</v>
      </c>
      <c r="F3" s="1">
        <v>64.5</v>
      </c>
      <c r="G3" s="1">
        <v>61.07</v>
      </c>
    </row>
    <row r="4" spans="1:7" x14ac:dyDescent="0.25">
      <c r="A4" s="1" t="s">
        <v>8</v>
      </c>
      <c r="B4" s="1">
        <v>44050.11</v>
      </c>
      <c r="C4" s="1">
        <v>45992.94</v>
      </c>
      <c r="D4" s="1">
        <v>44528.36</v>
      </c>
      <c r="E4" s="1">
        <v>39844.31</v>
      </c>
      <c r="F4" s="1">
        <v>46657.57</v>
      </c>
      <c r="G4" s="1">
        <v>46668.65</v>
      </c>
    </row>
    <row r="5" spans="1:7" x14ac:dyDescent="0.25">
      <c r="A5" s="1" t="s">
        <v>9</v>
      </c>
      <c r="B5" s="1">
        <v>1413.8</v>
      </c>
      <c r="C5" s="1">
        <v>1546.15</v>
      </c>
      <c r="D5" s="1">
        <v>1278.18</v>
      </c>
      <c r="E5" s="1">
        <v>906.52</v>
      </c>
      <c r="F5" s="1">
        <v>672.85</v>
      </c>
      <c r="G5" s="1">
        <v>1352.62</v>
      </c>
    </row>
    <row r="6" spans="1:7" x14ac:dyDescent="0.25">
      <c r="A6" s="3" t="s">
        <v>10</v>
      </c>
      <c r="B6" s="3">
        <v>141.38</v>
      </c>
      <c r="C6" s="3">
        <v>156.18</v>
      </c>
      <c r="D6" s="3">
        <v>129.11000000000001</v>
      </c>
      <c r="E6" s="3">
        <v>91.57</v>
      </c>
      <c r="F6" s="3">
        <v>67.959999999999994</v>
      </c>
      <c r="G6" s="3">
        <v>138.02000000000001</v>
      </c>
    </row>
    <row r="7" spans="1:7" x14ac:dyDescent="0.25">
      <c r="A7" s="1" t="s">
        <v>11</v>
      </c>
      <c r="B7" s="1">
        <v>1401.02</v>
      </c>
      <c r="C7" s="1">
        <v>1529.37</v>
      </c>
      <c r="D7" s="1">
        <v>1202.03</v>
      </c>
      <c r="E7" s="1">
        <v>815.37</v>
      </c>
      <c r="F7" s="1">
        <v>630.25</v>
      </c>
      <c r="G7" s="1">
        <v>1320.34</v>
      </c>
    </row>
    <row r="8" spans="1:7" x14ac:dyDescent="0.25">
      <c r="A8" s="1" t="s">
        <v>12</v>
      </c>
      <c r="B8" s="1">
        <v>140.1</v>
      </c>
      <c r="C8" s="1">
        <v>154.47999999999999</v>
      </c>
      <c r="D8" s="1">
        <v>121.42</v>
      </c>
      <c r="E8" s="1">
        <v>82.36</v>
      </c>
      <c r="F8" s="1">
        <v>63.66</v>
      </c>
      <c r="G8" s="1">
        <v>134.72999999999999</v>
      </c>
    </row>
    <row r="9" spans="1:7" x14ac:dyDescent="0.25">
      <c r="A9" s="1" t="s">
        <v>13</v>
      </c>
      <c r="B9" s="1">
        <v>1401.02</v>
      </c>
      <c r="C9" s="1">
        <v>1529.37</v>
      </c>
      <c r="D9" s="1">
        <v>-967.06</v>
      </c>
      <c r="E9" s="1">
        <v>404.33</v>
      </c>
      <c r="F9" s="1">
        <v>428.58</v>
      </c>
      <c r="G9" s="1">
        <v>1320.34</v>
      </c>
    </row>
    <row r="10" spans="1:7" x14ac:dyDescent="0.25">
      <c r="A10" s="1" t="s">
        <v>14</v>
      </c>
      <c r="B10" s="1">
        <v>140.1</v>
      </c>
      <c r="C10" s="1">
        <v>154.47999999999999</v>
      </c>
      <c r="D10" s="1">
        <v>-97.68</v>
      </c>
      <c r="E10" s="1">
        <v>40.840000000000003</v>
      </c>
      <c r="F10" s="1">
        <v>43.29</v>
      </c>
      <c r="G10" s="1">
        <v>134.72999999999999</v>
      </c>
    </row>
    <row r="11" spans="1:7" x14ac:dyDescent="0.25">
      <c r="A11" s="1" t="s">
        <v>15</v>
      </c>
      <c r="B11" s="1">
        <v>1044.08</v>
      </c>
      <c r="C11" s="1">
        <v>1054.8399999999999</v>
      </c>
      <c r="D11" s="1">
        <v>469.94</v>
      </c>
      <c r="E11" s="1">
        <v>123.73</v>
      </c>
      <c r="F11" s="1">
        <v>325.23</v>
      </c>
      <c r="G11" s="1">
        <v>1121.29</v>
      </c>
    </row>
    <row r="12" spans="1:7" x14ac:dyDescent="0.25">
      <c r="A12" s="1" t="s">
        <v>16</v>
      </c>
      <c r="B12" s="1">
        <v>403.32</v>
      </c>
      <c r="C12" s="1">
        <v>402.08</v>
      </c>
      <c r="D12" s="1">
        <v>323.23</v>
      </c>
      <c r="E12" s="1">
        <v>190.25</v>
      </c>
      <c r="F12" s="1">
        <v>337.3</v>
      </c>
      <c r="G12" s="1">
        <v>403.52</v>
      </c>
    </row>
    <row r="13" spans="1:7" x14ac:dyDescent="0.25">
      <c r="A13" s="1" t="s">
        <v>17</v>
      </c>
      <c r="B13" s="1">
        <v>55.53</v>
      </c>
      <c r="C13" s="1">
        <v>70.05</v>
      </c>
      <c r="D13" s="1">
        <v>69.83</v>
      </c>
      <c r="E13" s="1">
        <v>56.83</v>
      </c>
      <c r="F13" s="1">
        <v>38.53</v>
      </c>
      <c r="G13" s="1">
        <v>38.159999999999997</v>
      </c>
    </row>
    <row r="14" spans="1:7" x14ac:dyDescent="0.25">
      <c r="A14" s="1" t="s">
        <v>18</v>
      </c>
      <c r="B14" s="1">
        <v>133.85</v>
      </c>
      <c r="C14" s="1">
        <v>140</v>
      </c>
      <c r="D14" s="1">
        <v>141.57</v>
      </c>
      <c r="E14" s="1">
        <v>97.06</v>
      </c>
      <c r="F14" s="1">
        <v>87.09</v>
      </c>
      <c r="G14" s="1">
        <v>97.36</v>
      </c>
    </row>
    <row r="15" spans="1:7" x14ac:dyDescent="0.25">
      <c r="A15" s="1" t="s">
        <v>19</v>
      </c>
      <c r="B15" s="1">
        <v>3</v>
      </c>
      <c r="C15" s="1">
        <v>6</v>
      </c>
      <c r="D15" s="1">
        <v>4</v>
      </c>
      <c r="E15" s="1">
        <v>5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1401.02</v>
      </c>
      <c r="C17" s="1">
        <v>1529.37</v>
      </c>
      <c r="D17" s="1">
        <v>117.48</v>
      </c>
      <c r="E17" s="1">
        <v>609.85</v>
      </c>
      <c r="F17" s="1">
        <v>529.41999999999996</v>
      </c>
      <c r="G17" s="1">
        <v>1320.34</v>
      </c>
    </row>
    <row r="18" spans="1:7" x14ac:dyDescent="0.25">
      <c r="A18" s="1" t="s">
        <v>22</v>
      </c>
      <c r="B18" s="1">
        <v>0</v>
      </c>
      <c r="C18" s="1">
        <v>0</v>
      </c>
      <c r="D18" s="1">
        <v>1084.55</v>
      </c>
      <c r="E18" s="1">
        <v>205.52</v>
      </c>
      <c r="F18" s="1">
        <v>100.83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2</v>
      </c>
      <c r="E19" s="1">
        <v>3</v>
      </c>
      <c r="F19" s="1">
        <v>3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8.8000000000000007</v>
      </c>
      <c r="E20" s="1">
        <v>3.6</v>
      </c>
      <c r="F20" s="1">
        <v>2.7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1.2</v>
      </c>
      <c r="E21" s="1">
        <v>6.4</v>
      </c>
      <c r="F21" s="1">
        <v>7.3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8.8000000000000007</v>
      </c>
      <c r="E24" s="1">
        <v>1.2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5.9</v>
      </c>
      <c r="F25" s="1">
        <v>4.5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1.2</v>
      </c>
      <c r="E26" s="1">
        <v>2.9</v>
      </c>
      <c r="F26" s="1">
        <v>5.5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88.000000000000014</v>
      </c>
      <c r="E29" s="3">
        <f t="shared" si="1"/>
        <v>12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59.000000000000007</v>
      </c>
      <c r="F30" s="3">
        <f t="shared" si="2"/>
        <v>45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12</v>
      </c>
      <c r="E31" s="3">
        <f t="shared" si="3"/>
        <v>28.999999999999996</v>
      </c>
      <c r="F31" s="3">
        <f t="shared" si="3"/>
        <v>55.000000000000007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138.38999999999999</v>
      </c>
      <c r="C33" s="3">
        <v>154.44</v>
      </c>
      <c r="D33" s="3">
        <v>-84.22</v>
      </c>
      <c r="E33" s="3">
        <v>32.33</v>
      </c>
      <c r="F33" s="3">
        <v>40.78</v>
      </c>
      <c r="G33" s="3">
        <v>138.9</v>
      </c>
    </row>
    <row r="35" spans="1:7" x14ac:dyDescent="0.25">
      <c r="A35" s="3" t="s">
        <v>36</v>
      </c>
      <c r="B35" s="3"/>
      <c r="C35" s="3"/>
      <c r="D35" s="3">
        <f>D33-C33</f>
        <v>-238.66</v>
      </c>
      <c r="E35" s="3"/>
      <c r="F35" s="3">
        <f>F33-E33</f>
        <v>8.4500000000000028</v>
      </c>
      <c r="G35" s="3"/>
    </row>
    <row r="37" spans="1:7" x14ac:dyDescent="0.25">
      <c r="A37" s="3" t="s">
        <v>36</v>
      </c>
      <c r="B37" s="3"/>
      <c r="C37" s="3">
        <f>C33-B33</f>
        <v>16.050000000000011</v>
      </c>
      <c r="D37" s="3"/>
      <c r="E37" s="3">
        <f>E33-D33</f>
        <v>116.55</v>
      </c>
      <c r="F37" s="3"/>
      <c r="G37" s="3">
        <f>G33-F33</f>
        <v>98.12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4EE5-6478-4D8F-9EA9-5AF918BFE871}">
  <dimension ref="A1:G37"/>
  <sheetViews>
    <sheetView workbookViewId="0">
      <selection activeCell="J17" sqref="J17:J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789.76</v>
      </c>
      <c r="C2" s="1">
        <v>809.15</v>
      </c>
      <c r="D2" s="1">
        <v>819.09</v>
      </c>
      <c r="E2" s="1">
        <v>804.85</v>
      </c>
      <c r="F2" s="1">
        <v>799.61</v>
      </c>
      <c r="G2" s="1">
        <v>779.49</v>
      </c>
    </row>
    <row r="3" spans="1:7" x14ac:dyDescent="0.25">
      <c r="A3" s="1" t="s">
        <v>7</v>
      </c>
      <c r="B3" s="1">
        <v>55.11</v>
      </c>
      <c r="C3" s="1">
        <v>61.06</v>
      </c>
      <c r="D3" s="1">
        <v>60.68</v>
      </c>
      <c r="E3" s="1">
        <v>54.68</v>
      </c>
      <c r="F3" s="1">
        <v>55.8</v>
      </c>
      <c r="G3" s="1">
        <v>53.37</v>
      </c>
    </row>
    <row r="4" spans="1:7" x14ac:dyDescent="0.25">
      <c r="A4" s="1" t="s">
        <v>8</v>
      </c>
      <c r="B4" s="1">
        <v>44243.44</v>
      </c>
      <c r="C4" s="1">
        <v>50181.61</v>
      </c>
      <c r="D4" s="1">
        <v>50469.1</v>
      </c>
      <c r="E4" s="1">
        <v>44726.39</v>
      </c>
      <c r="F4" s="1">
        <v>45359.81</v>
      </c>
      <c r="G4" s="1">
        <v>42233.37</v>
      </c>
    </row>
    <row r="5" spans="1:7" x14ac:dyDescent="0.25">
      <c r="A5" s="1" t="s">
        <v>9</v>
      </c>
      <c r="B5" s="1">
        <v>1164.79</v>
      </c>
      <c r="C5" s="1">
        <v>1012.31</v>
      </c>
      <c r="D5" s="1">
        <v>528.82000000000005</v>
      </c>
      <c r="E5" s="1">
        <v>577.54</v>
      </c>
      <c r="F5" s="1">
        <v>976.62</v>
      </c>
      <c r="G5" s="1">
        <v>745.36</v>
      </c>
    </row>
    <row r="6" spans="1:7" x14ac:dyDescent="0.25">
      <c r="A6" s="3" t="s">
        <v>10</v>
      </c>
      <c r="B6" s="3">
        <v>116.48</v>
      </c>
      <c r="C6" s="3">
        <v>102.25</v>
      </c>
      <c r="D6" s="3">
        <v>53.42</v>
      </c>
      <c r="E6" s="3">
        <v>58.34</v>
      </c>
      <c r="F6" s="3">
        <v>98.65</v>
      </c>
      <c r="G6" s="3">
        <v>76.06</v>
      </c>
    </row>
    <row r="7" spans="1:7" x14ac:dyDescent="0.25">
      <c r="A7" s="1" t="s">
        <v>11</v>
      </c>
      <c r="B7" s="1">
        <v>1084.76</v>
      </c>
      <c r="C7" s="1">
        <v>986.38</v>
      </c>
      <c r="D7" s="1">
        <v>497.21</v>
      </c>
      <c r="E7" s="1">
        <v>546.97</v>
      </c>
      <c r="F7" s="1">
        <v>940.68</v>
      </c>
      <c r="G7" s="1">
        <v>723.72</v>
      </c>
    </row>
    <row r="8" spans="1:7" x14ac:dyDescent="0.25">
      <c r="A8" s="1" t="s">
        <v>12</v>
      </c>
      <c r="B8" s="1">
        <v>108.48</v>
      </c>
      <c r="C8" s="1">
        <v>99.63</v>
      </c>
      <c r="D8" s="1">
        <v>50.22</v>
      </c>
      <c r="E8" s="1">
        <v>55.25</v>
      </c>
      <c r="F8" s="1">
        <v>95.02</v>
      </c>
      <c r="G8" s="1">
        <v>73.849999999999994</v>
      </c>
    </row>
    <row r="9" spans="1:7" x14ac:dyDescent="0.25">
      <c r="A9" s="1" t="s">
        <v>13</v>
      </c>
      <c r="B9" s="1">
        <v>964.47</v>
      </c>
      <c r="C9" s="1">
        <v>839.47</v>
      </c>
      <c r="D9" s="1">
        <v>360.09</v>
      </c>
      <c r="E9" s="1">
        <v>339.56</v>
      </c>
      <c r="F9" s="1">
        <v>-733.4</v>
      </c>
      <c r="G9" s="1">
        <v>632.69000000000005</v>
      </c>
    </row>
    <row r="10" spans="1:7" x14ac:dyDescent="0.25">
      <c r="A10" s="1" t="s">
        <v>14</v>
      </c>
      <c r="B10" s="1">
        <v>96.45</v>
      </c>
      <c r="C10" s="1">
        <v>84.79</v>
      </c>
      <c r="D10" s="1">
        <v>36.369999999999997</v>
      </c>
      <c r="E10" s="1">
        <v>34.299999999999997</v>
      </c>
      <c r="F10" s="1">
        <v>-74.08</v>
      </c>
      <c r="G10" s="1">
        <v>64.56</v>
      </c>
    </row>
    <row r="11" spans="1:7" x14ac:dyDescent="0.25">
      <c r="A11" s="1" t="s">
        <v>15</v>
      </c>
      <c r="B11" s="1">
        <v>768.03</v>
      </c>
      <c r="C11" s="1">
        <v>666.72</v>
      </c>
      <c r="D11" s="1">
        <v>234.67</v>
      </c>
      <c r="E11" s="1">
        <v>234.03</v>
      </c>
      <c r="F11" s="1">
        <v>434.74</v>
      </c>
      <c r="G11" s="1">
        <v>534.91999999999996</v>
      </c>
    </row>
    <row r="12" spans="1:7" x14ac:dyDescent="0.25">
      <c r="A12" s="1" t="s">
        <v>16</v>
      </c>
      <c r="B12" s="1">
        <v>463.35</v>
      </c>
      <c r="C12" s="1">
        <v>423.75</v>
      </c>
      <c r="D12" s="1">
        <v>426.78</v>
      </c>
      <c r="E12" s="1">
        <v>445.35</v>
      </c>
      <c r="F12" s="1">
        <v>294.76</v>
      </c>
      <c r="G12" s="1">
        <v>446.67</v>
      </c>
    </row>
    <row r="13" spans="1:7" x14ac:dyDescent="0.25">
      <c r="A13" s="1" t="s">
        <v>17</v>
      </c>
      <c r="B13" s="1">
        <v>39.770000000000003</v>
      </c>
      <c r="C13" s="1">
        <v>37.21</v>
      </c>
      <c r="D13" s="1">
        <v>29.7</v>
      </c>
      <c r="E13" s="1">
        <v>33.130000000000003</v>
      </c>
      <c r="F13" s="1">
        <v>94.01</v>
      </c>
      <c r="G13" s="1">
        <v>35.01</v>
      </c>
    </row>
    <row r="14" spans="1:7" x14ac:dyDescent="0.25">
      <c r="A14" s="1" t="s">
        <v>18</v>
      </c>
      <c r="B14" s="1">
        <v>93.82</v>
      </c>
      <c r="C14" s="1">
        <v>92.37</v>
      </c>
      <c r="D14" s="1">
        <v>57.92</v>
      </c>
      <c r="E14" s="1">
        <v>91.55</v>
      </c>
      <c r="F14" s="1">
        <v>156.46</v>
      </c>
      <c r="G14" s="1">
        <v>82.15</v>
      </c>
    </row>
    <row r="15" spans="1:7" x14ac:dyDescent="0.25">
      <c r="A15" s="1" t="s">
        <v>19</v>
      </c>
      <c r="B15" s="1">
        <v>4</v>
      </c>
      <c r="C15" s="1">
        <v>3</v>
      </c>
      <c r="D15" s="1">
        <v>2</v>
      </c>
      <c r="E15" s="1">
        <v>2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1024.6099999999999</v>
      </c>
      <c r="C17" s="1">
        <v>912.93</v>
      </c>
      <c r="D17" s="1">
        <v>428.65</v>
      </c>
      <c r="E17" s="1">
        <v>443.26</v>
      </c>
      <c r="F17" s="1">
        <v>103.64</v>
      </c>
      <c r="G17" s="1">
        <v>678.21</v>
      </c>
    </row>
    <row r="18" spans="1:7" x14ac:dyDescent="0.25">
      <c r="A18" s="1" t="s">
        <v>22</v>
      </c>
      <c r="B18" s="1">
        <v>60.14</v>
      </c>
      <c r="C18" s="1">
        <v>73.459999999999994</v>
      </c>
      <c r="D18" s="1">
        <v>68.56</v>
      </c>
      <c r="E18" s="1">
        <v>103.71</v>
      </c>
      <c r="F18" s="1">
        <v>837.04</v>
      </c>
      <c r="G18" s="1">
        <v>45.52</v>
      </c>
    </row>
    <row r="19" spans="1:7" x14ac:dyDescent="0.25">
      <c r="A19" s="1" t="s">
        <v>23</v>
      </c>
      <c r="B19" s="1">
        <v>1</v>
      </c>
      <c r="C19" s="1">
        <v>1</v>
      </c>
      <c r="D19" s="1">
        <v>1</v>
      </c>
      <c r="E19" s="1">
        <v>2</v>
      </c>
      <c r="F19" s="1">
        <v>1</v>
      </c>
      <c r="G19" s="1">
        <v>1</v>
      </c>
    </row>
    <row r="20" spans="1:7" x14ac:dyDescent="0.25">
      <c r="A20" s="1" t="s">
        <v>24</v>
      </c>
      <c r="B20" s="1">
        <v>0.8</v>
      </c>
      <c r="C20" s="1">
        <v>0.8</v>
      </c>
      <c r="D20" s="1">
        <v>1.5</v>
      </c>
      <c r="E20" s="1">
        <v>1.8</v>
      </c>
      <c r="F20" s="1">
        <v>6.5</v>
      </c>
      <c r="G20" s="1">
        <v>1.1000000000000001</v>
      </c>
    </row>
    <row r="21" spans="1:7" x14ac:dyDescent="0.25">
      <c r="A21" s="1" t="s">
        <v>25</v>
      </c>
      <c r="B21" s="1">
        <v>9.3000000000000007</v>
      </c>
      <c r="C21" s="1">
        <v>9.1999999999999993</v>
      </c>
      <c r="D21" s="1">
        <v>8.5</v>
      </c>
      <c r="E21" s="1">
        <v>8.1999999999999993</v>
      </c>
      <c r="F21" s="1">
        <v>3.5</v>
      </c>
      <c r="G21" s="1">
        <v>8.8000000000000007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1.2</v>
      </c>
      <c r="E24" s="1">
        <v>0</v>
      </c>
      <c r="F24" s="1">
        <v>6.9</v>
      </c>
      <c r="G24" s="1">
        <v>1.2</v>
      </c>
    </row>
    <row r="25" spans="1:7" x14ac:dyDescent="0.25">
      <c r="A25" s="1" t="s">
        <v>29</v>
      </c>
      <c r="B25" s="1">
        <v>1</v>
      </c>
      <c r="C25" s="1">
        <v>1.5</v>
      </c>
      <c r="D25" s="1">
        <v>2.1</v>
      </c>
      <c r="E25" s="1">
        <v>4.9000000000000004</v>
      </c>
      <c r="F25" s="1">
        <v>0</v>
      </c>
      <c r="G25" s="1">
        <v>1</v>
      </c>
    </row>
    <row r="26" spans="1:7" x14ac:dyDescent="0.25">
      <c r="A26" s="1" t="s">
        <v>30</v>
      </c>
      <c r="B26" s="1">
        <v>9.1</v>
      </c>
      <c r="C26" s="1">
        <v>8.5</v>
      </c>
      <c r="D26" s="1">
        <v>6.7</v>
      </c>
      <c r="E26" s="1">
        <v>5.0999999999999996</v>
      </c>
      <c r="F26" s="1">
        <v>3.1</v>
      </c>
      <c r="G26" s="1">
        <v>7.7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12</v>
      </c>
      <c r="E29" s="3">
        <f t="shared" si="1"/>
        <v>0</v>
      </c>
      <c r="F29" s="3">
        <f t="shared" si="1"/>
        <v>69</v>
      </c>
      <c r="G29" s="3">
        <f t="shared" si="1"/>
        <v>12.121212121212119</v>
      </c>
    </row>
    <row r="30" spans="1:7" x14ac:dyDescent="0.25">
      <c r="A30" s="3" t="s">
        <v>33</v>
      </c>
      <c r="B30" s="3">
        <f>B25/B28*100</f>
        <v>9.9009900990099009</v>
      </c>
      <c r="C30" s="3">
        <f t="shared" ref="C30:G30" si="2">C25/C28*100</f>
        <v>15</v>
      </c>
      <c r="D30" s="3">
        <f t="shared" si="2"/>
        <v>21.000000000000004</v>
      </c>
      <c r="E30" s="3">
        <f t="shared" si="2"/>
        <v>49.000000000000007</v>
      </c>
      <c r="F30" s="3">
        <f t="shared" si="2"/>
        <v>0</v>
      </c>
      <c r="G30" s="3">
        <f t="shared" si="2"/>
        <v>10.1010101010101</v>
      </c>
    </row>
    <row r="31" spans="1:7" x14ac:dyDescent="0.25">
      <c r="A31" s="3" t="s">
        <v>34</v>
      </c>
      <c r="B31" s="3">
        <f>B26/B28*100</f>
        <v>90.099009900990097</v>
      </c>
      <c r="C31" s="3">
        <f t="shared" ref="C31:G31" si="3">C26/C28*100</f>
        <v>85</v>
      </c>
      <c r="D31" s="3">
        <f t="shared" si="3"/>
        <v>67</v>
      </c>
      <c r="E31" s="3">
        <f t="shared" si="3"/>
        <v>51</v>
      </c>
      <c r="F31" s="3">
        <f t="shared" si="3"/>
        <v>31</v>
      </c>
      <c r="G31" s="3">
        <f t="shared" si="3"/>
        <v>77.777777777777786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96.15</v>
      </c>
      <c r="C33" s="3">
        <v>86.53</v>
      </c>
      <c r="D33" s="3">
        <v>27.03</v>
      </c>
      <c r="E33" s="3">
        <v>30.94</v>
      </c>
      <c r="F33" s="3">
        <v>-57.34</v>
      </c>
      <c r="G33" s="3">
        <v>63.3</v>
      </c>
    </row>
    <row r="35" spans="1:7" x14ac:dyDescent="0.25">
      <c r="A35" s="3" t="s">
        <v>36</v>
      </c>
      <c r="B35" s="3"/>
      <c r="C35" s="3"/>
      <c r="D35" s="3">
        <f>D33-C33</f>
        <v>-59.5</v>
      </c>
      <c r="E35" s="3"/>
      <c r="F35" s="3">
        <f>F33-E33</f>
        <v>-88.28</v>
      </c>
      <c r="G35" s="3"/>
    </row>
    <row r="37" spans="1:7" x14ac:dyDescent="0.25">
      <c r="A37" s="3" t="s">
        <v>36</v>
      </c>
      <c r="B37" s="3"/>
      <c r="C37" s="3">
        <f>C33-B33</f>
        <v>-9.6200000000000045</v>
      </c>
      <c r="D37" s="3"/>
      <c r="E37" s="3">
        <f>E33-D33</f>
        <v>3.91</v>
      </c>
      <c r="F37" s="3"/>
      <c r="G37" s="3">
        <f>G33-F33</f>
        <v>120.64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DABC-9956-42B6-A3FE-A652FFA315ED}">
  <dimension ref="A1:G37"/>
  <sheetViews>
    <sheetView topLeftCell="A4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736.18</v>
      </c>
      <c r="C2" s="1">
        <v>738.58</v>
      </c>
      <c r="D2" s="1">
        <v>747.14</v>
      </c>
      <c r="E2" s="1">
        <v>675.4</v>
      </c>
      <c r="F2" s="1">
        <v>715.9</v>
      </c>
      <c r="G2" s="1">
        <v>753.54</v>
      </c>
    </row>
    <row r="3" spans="1:7" x14ac:dyDescent="0.25">
      <c r="A3" s="1" t="s">
        <v>7</v>
      </c>
      <c r="B3" s="1">
        <v>56.61</v>
      </c>
      <c r="C3" s="1">
        <v>55.42</v>
      </c>
      <c r="D3" s="1">
        <v>59.19</v>
      </c>
      <c r="E3" s="1">
        <v>62.3</v>
      </c>
      <c r="F3" s="1">
        <v>59.37</v>
      </c>
      <c r="G3" s="1">
        <v>60.5</v>
      </c>
    </row>
    <row r="4" spans="1:7" x14ac:dyDescent="0.25">
      <c r="A4" s="1" t="s">
        <v>8</v>
      </c>
      <c r="B4" s="1">
        <v>42393.74</v>
      </c>
      <c r="C4" s="1">
        <v>41605.58</v>
      </c>
      <c r="D4" s="1">
        <v>44929.84</v>
      </c>
      <c r="E4" s="1">
        <v>42760.21</v>
      </c>
      <c r="F4" s="1">
        <v>43118.12</v>
      </c>
      <c r="G4" s="1">
        <v>46369.52</v>
      </c>
    </row>
    <row r="5" spans="1:7" x14ac:dyDescent="0.25">
      <c r="A5" s="1" t="s">
        <v>9</v>
      </c>
      <c r="B5" s="1">
        <v>1181.3800000000001</v>
      </c>
      <c r="C5" s="1">
        <v>1189.49</v>
      </c>
      <c r="D5" s="1">
        <v>989.44</v>
      </c>
      <c r="E5" s="1">
        <v>820.45</v>
      </c>
      <c r="F5" s="1">
        <v>695.04</v>
      </c>
      <c r="G5" s="1">
        <v>1130.1199999999999</v>
      </c>
    </row>
    <row r="6" spans="1:7" x14ac:dyDescent="0.25">
      <c r="A6" s="3" t="s">
        <v>10</v>
      </c>
      <c r="B6" s="3">
        <v>118.14</v>
      </c>
      <c r="C6" s="3">
        <v>120.15</v>
      </c>
      <c r="D6" s="3">
        <v>99.94</v>
      </c>
      <c r="E6" s="3">
        <v>82.87</v>
      </c>
      <c r="F6" s="3">
        <v>70.209999999999994</v>
      </c>
      <c r="G6" s="3">
        <v>115.32</v>
      </c>
    </row>
    <row r="7" spans="1:7" x14ac:dyDescent="0.25">
      <c r="A7" s="1" t="s">
        <v>11</v>
      </c>
      <c r="B7" s="1">
        <v>1137.76</v>
      </c>
      <c r="C7" s="1">
        <v>1146.6099999999999</v>
      </c>
      <c r="D7" s="1">
        <v>951.09</v>
      </c>
      <c r="E7" s="1">
        <v>619.82000000000005</v>
      </c>
      <c r="F7" s="1">
        <v>646.65</v>
      </c>
      <c r="G7" s="1">
        <v>1095.45</v>
      </c>
    </row>
    <row r="8" spans="1:7" x14ac:dyDescent="0.25">
      <c r="A8" s="1" t="s">
        <v>12</v>
      </c>
      <c r="B8" s="1">
        <v>113.78</v>
      </c>
      <c r="C8" s="1">
        <v>115.82</v>
      </c>
      <c r="D8" s="1">
        <v>96.07</v>
      </c>
      <c r="E8" s="1">
        <v>62.61</v>
      </c>
      <c r="F8" s="1">
        <v>65.319999999999993</v>
      </c>
      <c r="G8" s="1">
        <v>111.78</v>
      </c>
    </row>
    <row r="9" spans="1:7" x14ac:dyDescent="0.25">
      <c r="A9" s="1" t="s">
        <v>13</v>
      </c>
      <c r="B9" s="1">
        <v>1137.76</v>
      </c>
      <c r="C9" s="1">
        <v>1123.18</v>
      </c>
      <c r="D9" s="1">
        <v>944.2</v>
      </c>
      <c r="E9" s="1">
        <v>388.7</v>
      </c>
      <c r="F9" s="1">
        <v>449.02</v>
      </c>
      <c r="G9" s="1">
        <v>1095.45</v>
      </c>
    </row>
    <row r="10" spans="1:7" x14ac:dyDescent="0.25">
      <c r="A10" s="1" t="s">
        <v>14</v>
      </c>
      <c r="B10" s="1">
        <v>113.78</v>
      </c>
      <c r="C10" s="1">
        <v>113.45</v>
      </c>
      <c r="D10" s="1">
        <v>95.37</v>
      </c>
      <c r="E10" s="1">
        <v>39.26</v>
      </c>
      <c r="F10" s="1">
        <v>45.36</v>
      </c>
      <c r="G10" s="1">
        <v>111.78</v>
      </c>
    </row>
    <row r="11" spans="1:7" x14ac:dyDescent="0.25">
      <c r="A11" s="1" t="s">
        <v>15</v>
      </c>
      <c r="B11" s="1">
        <v>758.87</v>
      </c>
      <c r="C11" s="1">
        <v>889.61</v>
      </c>
      <c r="D11" s="1">
        <v>533.52</v>
      </c>
      <c r="E11" s="1">
        <v>330.4</v>
      </c>
      <c r="F11" s="1">
        <v>253.24</v>
      </c>
      <c r="G11" s="1">
        <v>756.25</v>
      </c>
    </row>
    <row r="12" spans="1:7" x14ac:dyDescent="0.25">
      <c r="A12" s="1" t="s">
        <v>16</v>
      </c>
      <c r="B12" s="1">
        <v>383.52</v>
      </c>
      <c r="C12" s="1">
        <v>348.95</v>
      </c>
      <c r="D12" s="1">
        <v>345.86</v>
      </c>
      <c r="E12" s="1">
        <v>286.52</v>
      </c>
      <c r="F12" s="1">
        <v>403.01</v>
      </c>
      <c r="G12" s="1">
        <v>383.71</v>
      </c>
    </row>
    <row r="13" spans="1:7" x14ac:dyDescent="0.25">
      <c r="A13" s="1" t="s">
        <v>17</v>
      </c>
      <c r="B13" s="1">
        <v>61.2</v>
      </c>
      <c r="C13" s="1">
        <v>35.700000000000003</v>
      </c>
      <c r="D13" s="1">
        <v>62.86</v>
      </c>
      <c r="E13" s="1">
        <v>59.82</v>
      </c>
      <c r="F13" s="1">
        <v>39.56</v>
      </c>
      <c r="G13" s="1">
        <v>54.49</v>
      </c>
    </row>
    <row r="14" spans="1:7" x14ac:dyDescent="0.25">
      <c r="A14" s="1" t="s">
        <v>18</v>
      </c>
      <c r="B14" s="1">
        <v>140.88</v>
      </c>
      <c r="C14" s="1">
        <v>90.38</v>
      </c>
      <c r="D14" s="1">
        <v>132.75</v>
      </c>
      <c r="E14" s="1">
        <v>135.57</v>
      </c>
      <c r="F14" s="1">
        <v>80.72</v>
      </c>
      <c r="G14" s="1">
        <v>132.5</v>
      </c>
    </row>
    <row r="15" spans="1:7" x14ac:dyDescent="0.25">
      <c r="A15" s="1" t="s">
        <v>19</v>
      </c>
      <c r="B15" s="1">
        <v>4</v>
      </c>
      <c r="C15" s="1">
        <v>2</v>
      </c>
      <c r="D15" s="1">
        <v>2</v>
      </c>
      <c r="E15" s="1">
        <v>3</v>
      </c>
      <c r="F15" s="1">
        <v>2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1137.76</v>
      </c>
      <c r="C17" s="1">
        <v>1134.9000000000001</v>
      </c>
      <c r="D17" s="1">
        <v>947.64</v>
      </c>
      <c r="E17" s="1">
        <v>504.26</v>
      </c>
      <c r="F17" s="1">
        <v>547.83000000000004</v>
      </c>
      <c r="G17" s="1">
        <v>1095.45</v>
      </c>
    </row>
    <row r="18" spans="1:7" x14ac:dyDescent="0.25">
      <c r="A18" s="1" t="s">
        <v>22</v>
      </c>
      <c r="B18" s="1">
        <v>0</v>
      </c>
      <c r="C18" s="1">
        <v>11.72</v>
      </c>
      <c r="D18" s="1">
        <v>3.45</v>
      </c>
      <c r="E18" s="1">
        <v>115.56</v>
      </c>
      <c r="F18" s="1">
        <v>98.81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1.9</v>
      </c>
      <c r="F20" s="1">
        <v>3.6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8.1</v>
      </c>
      <c r="F21" s="1">
        <v>6.4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2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2.1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</v>
      </c>
      <c r="F25" s="1">
        <v>3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7</v>
      </c>
      <c r="F26" s="1">
        <v>4.9000000000000004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21.000000000000004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30</v>
      </c>
      <c r="F30" s="3">
        <f t="shared" si="2"/>
        <v>30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70</v>
      </c>
      <c r="F31" s="3">
        <f t="shared" si="3"/>
        <v>49.000000000000007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117</v>
      </c>
      <c r="C33" s="3">
        <v>117.6</v>
      </c>
      <c r="D33" s="3">
        <v>99.23</v>
      </c>
      <c r="E33" s="3">
        <v>34.380000000000003</v>
      </c>
      <c r="F33" s="3">
        <v>33.21</v>
      </c>
      <c r="G33" s="3">
        <v>112.96</v>
      </c>
    </row>
    <row r="35" spans="1:7" x14ac:dyDescent="0.25">
      <c r="A35" s="3" t="s">
        <v>36</v>
      </c>
      <c r="B35" s="3"/>
      <c r="C35" s="3"/>
      <c r="D35" s="3">
        <f>D33-C33</f>
        <v>-18.36999999999999</v>
      </c>
      <c r="E35" s="3"/>
      <c r="F35" s="3">
        <f>F33-E33</f>
        <v>-1.1700000000000017</v>
      </c>
      <c r="G35" s="3"/>
    </row>
    <row r="37" spans="1:7" x14ac:dyDescent="0.25">
      <c r="A37" s="3" t="s">
        <v>36</v>
      </c>
      <c r="B37" s="3"/>
      <c r="C37" s="3">
        <f>C33-B33</f>
        <v>0.59999999999999432</v>
      </c>
      <c r="D37" s="3"/>
      <c r="E37" s="3">
        <f>E33-D33</f>
        <v>-64.849999999999994</v>
      </c>
      <c r="F37" s="3"/>
      <c r="G37" s="3">
        <f>G33-F33</f>
        <v>79.75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8B72-0AA0-4784-886D-A747D7461F64}">
  <dimension ref="A1:G37"/>
  <sheetViews>
    <sheetView workbookViewId="0">
      <selection activeCell="Q20" sqref="Q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797.96</v>
      </c>
      <c r="C2" s="1">
        <v>797.14</v>
      </c>
      <c r="D2" s="1">
        <v>797.22</v>
      </c>
      <c r="E2" s="1">
        <v>764.98</v>
      </c>
      <c r="F2" s="1">
        <v>759.79</v>
      </c>
      <c r="G2" s="1">
        <v>788.92</v>
      </c>
    </row>
    <row r="3" spans="1:7" x14ac:dyDescent="0.25">
      <c r="A3" s="1" t="s">
        <v>7</v>
      </c>
      <c r="B3" s="1">
        <v>66.12</v>
      </c>
      <c r="C3" s="1">
        <v>61.76</v>
      </c>
      <c r="D3" s="1">
        <v>63.42</v>
      </c>
      <c r="E3" s="1">
        <v>57.77</v>
      </c>
      <c r="F3" s="1">
        <v>58.62</v>
      </c>
      <c r="G3" s="1">
        <v>58.39</v>
      </c>
    </row>
    <row r="4" spans="1:7" x14ac:dyDescent="0.25">
      <c r="A4" s="1" t="s">
        <v>8</v>
      </c>
      <c r="B4" s="1">
        <v>53664.88</v>
      </c>
      <c r="C4" s="1">
        <v>50019.34</v>
      </c>
      <c r="D4" s="1">
        <v>51387.8</v>
      </c>
      <c r="E4" s="1">
        <v>44883.81</v>
      </c>
      <c r="F4" s="1">
        <v>45251.29</v>
      </c>
      <c r="G4" s="1">
        <v>46792.34</v>
      </c>
    </row>
    <row r="5" spans="1:7" x14ac:dyDescent="0.25">
      <c r="A5" s="1" t="s">
        <v>9</v>
      </c>
      <c r="B5" s="1">
        <v>1307.1099999999999</v>
      </c>
      <c r="C5" s="1">
        <v>1280.6199999999999</v>
      </c>
      <c r="D5" s="1">
        <v>1175.44</v>
      </c>
      <c r="E5" s="1">
        <v>1012.43</v>
      </c>
      <c r="F5" s="1">
        <v>808.62</v>
      </c>
      <c r="G5" s="1">
        <v>1333.97</v>
      </c>
    </row>
    <row r="6" spans="1:7" x14ac:dyDescent="0.25">
      <c r="A6" s="3" t="s">
        <v>10</v>
      </c>
      <c r="B6" s="3">
        <v>130.71</v>
      </c>
      <c r="C6" s="3">
        <v>129.36000000000001</v>
      </c>
      <c r="D6" s="3">
        <v>118.73</v>
      </c>
      <c r="E6" s="3">
        <v>102.27</v>
      </c>
      <c r="F6" s="3">
        <v>81.680000000000007</v>
      </c>
      <c r="G6" s="3">
        <v>136.12</v>
      </c>
    </row>
    <row r="7" spans="1:7" x14ac:dyDescent="0.25">
      <c r="A7" s="1" t="s">
        <v>11</v>
      </c>
      <c r="B7" s="1">
        <v>1286.19</v>
      </c>
      <c r="C7" s="1">
        <v>1261.0899999999999</v>
      </c>
      <c r="D7" s="1">
        <v>1156.23</v>
      </c>
      <c r="E7" s="1">
        <v>974.55</v>
      </c>
      <c r="F7" s="1">
        <v>778.63</v>
      </c>
      <c r="G7" s="1">
        <v>1295.56</v>
      </c>
    </row>
    <row r="8" spans="1:7" x14ac:dyDescent="0.25">
      <c r="A8" s="1" t="s">
        <v>12</v>
      </c>
      <c r="B8" s="1">
        <v>128.62</v>
      </c>
      <c r="C8" s="1">
        <v>127.38</v>
      </c>
      <c r="D8" s="1">
        <v>116.79</v>
      </c>
      <c r="E8" s="1">
        <v>98.44</v>
      </c>
      <c r="F8" s="1">
        <v>78.650000000000006</v>
      </c>
      <c r="G8" s="1">
        <v>132.19999999999999</v>
      </c>
    </row>
    <row r="9" spans="1:7" x14ac:dyDescent="0.25">
      <c r="A9" s="1" t="s">
        <v>13</v>
      </c>
      <c r="B9" s="1">
        <v>1286.19</v>
      </c>
      <c r="C9" s="1">
        <v>1261.0899999999999</v>
      </c>
      <c r="D9" s="1">
        <v>1156.23</v>
      </c>
      <c r="E9" s="1">
        <v>970.94</v>
      </c>
      <c r="F9" s="1">
        <v>-528.12</v>
      </c>
      <c r="G9" s="1">
        <v>1295.56</v>
      </c>
    </row>
    <row r="10" spans="1:7" x14ac:dyDescent="0.25">
      <c r="A10" s="1" t="s">
        <v>14</v>
      </c>
      <c r="B10" s="1">
        <v>128.62</v>
      </c>
      <c r="C10" s="1">
        <v>127.38</v>
      </c>
      <c r="D10" s="1">
        <v>116.79</v>
      </c>
      <c r="E10" s="1">
        <v>98.07</v>
      </c>
      <c r="F10" s="1">
        <v>-53.35</v>
      </c>
      <c r="G10" s="1">
        <v>132.19999999999999</v>
      </c>
    </row>
    <row r="11" spans="1:7" x14ac:dyDescent="0.25">
      <c r="A11" s="1" t="s">
        <v>15</v>
      </c>
      <c r="B11" s="1">
        <v>1081.06</v>
      </c>
      <c r="C11" s="1">
        <v>881.73</v>
      </c>
      <c r="D11" s="1">
        <v>973.56</v>
      </c>
      <c r="E11" s="1">
        <v>735.46</v>
      </c>
      <c r="F11" s="1">
        <v>200.97</v>
      </c>
      <c r="G11" s="1">
        <v>1054.75</v>
      </c>
    </row>
    <row r="12" spans="1:7" x14ac:dyDescent="0.25">
      <c r="A12" s="1" t="s">
        <v>16</v>
      </c>
      <c r="B12" s="1">
        <v>431.18</v>
      </c>
      <c r="C12" s="1">
        <v>436.22</v>
      </c>
      <c r="D12" s="1">
        <v>429.06</v>
      </c>
      <c r="E12" s="1">
        <v>415.53</v>
      </c>
      <c r="F12" s="1">
        <v>355.26</v>
      </c>
      <c r="G12" s="1">
        <v>478.76</v>
      </c>
    </row>
    <row r="13" spans="1:7" x14ac:dyDescent="0.25">
      <c r="A13" s="1" t="s">
        <v>17</v>
      </c>
      <c r="B13" s="1">
        <v>41.98</v>
      </c>
      <c r="C13" s="1">
        <v>61.6</v>
      </c>
      <c r="D13" s="1">
        <v>45.54</v>
      </c>
      <c r="E13" s="1">
        <v>60.14</v>
      </c>
      <c r="F13" s="1">
        <v>75.180000000000007</v>
      </c>
      <c r="G13" s="1">
        <v>43.53</v>
      </c>
    </row>
    <row r="14" spans="1:7" x14ac:dyDescent="0.25">
      <c r="A14" s="1" t="s">
        <v>18</v>
      </c>
      <c r="B14" s="1">
        <v>121.69</v>
      </c>
      <c r="C14" s="1">
        <v>115.52</v>
      </c>
      <c r="D14" s="1">
        <v>95.91</v>
      </c>
      <c r="E14" s="1">
        <v>135.58000000000001</v>
      </c>
      <c r="F14" s="1">
        <v>145.49</v>
      </c>
      <c r="G14" s="1">
        <v>103.52</v>
      </c>
    </row>
    <row r="15" spans="1:7" x14ac:dyDescent="0.25">
      <c r="A15" s="1" t="s">
        <v>19</v>
      </c>
      <c r="B15" s="1">
        <v>1</v>
      </c>
      <c r="C15" s="1">
        <v>4</v>
      </c>
      <c r="D15" s="1">
        <v>4</v>
      </c>
      <c r="E15" s="1">
        <v>3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1286.19</v>
      </c>
      <c r="C17" s="1">
        <v>1261.0899999999999</v>
      </c>
      <c r="D17" s="1">
        <v>1156.23</v>
      </c>
      <c r="E17" s="1">
        <v>972.75</v>
      </c>
      <c r="F17" s="1">
        <v>125.25</v>
      </c>
      <c r="G17" s="1">
        <v>1295.56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1.81</v>
      </c>
      <c r="F18" s="1">
        <v>653.38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4.5999999999999996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25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129.76</v>
      </c>
      <c r="C33" s="3">
        <v>127.97</v>
      </c>
      <c r="D33" s="3">
        <v>117.06</v>
      </c>
      <c r="E33" s="3">
        <v>100.7</v>
      </c>
      <c r="F33" s="3">
        <v>-28.16</v>
      </c>
      <c r="G33" s="3">
        <v>135.25</v>
      </c>
    </row>
    <row r="35" spans="1:7" x14ac:dyDescent="0.25">
      <c r="A35" s="3" t="s">
        <v>36</v>
      </c>
      <c r="B35" s="3"/>
      <c r="C35" s="3"/>
      <c r="D35" s="3">
        <f>D33-C33</f>
        <v>-10.909999999999997</v>
      </c>
      <c r="E35" s="3"/>
      <c r="F35" s="3">
        <f>F33-E33</f>
        <v>-128.86000000000001</v>
      </c>
      <c r="G35" s="3"/>
    </row>
    <row r="37" spans="1:7" x14ac:dyDescent="0.25">
      <c r="A37" s="3" t="s">
        <v>36</v>
      </c>
      <c r="B37" s="3"/>
      <c r="C37" s="3">
        <f>C33-B33</f>
        <v>-1.789999999999992</v>
      </c>
      <c r="D37" s="3"/>
      <c r="E37" s="3">
        <f>E33-D33</f>
        <v>-16.36</v>
      </c>
      <c r="F37" s="3"/>
      <c r="G37" s="3">
        <f>G33-F33</f>
        <v>163.41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03DD-8DB3-4ADE-8B1F-54D95F05F22C}">
  <dimension ref="A1:G37"/>
  <sheetViews>
    <sheetView topLeftCell="A10" workbookViewId="0">
      <selection activeCell="I17" sqref="I17:I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712.84</v>
      </c>
      <c r="C2" s="1">
        <v>674.83</v>
      </c>
      <c r="D2" s="1">
        <v>657.13</v>
      </c>
      <c r="E2" s="1">
        <v>739.65</v>
      </c>
      <c r="F2" s="1">
        <v>751.02</v>
      </c>
      <c r="G2" s="1">
        <v>686.39</v>
      </c>
    </row>
    <row r="3" spans="1:7" x14ac:dyDescent="0.25">
      <c r="A3" s="1" t="s">
        <v>7</v>
      </c>
      <c r="B3" s="1">
        <v>56.81</v>
      </c>
      <c r="C3" s="1">
        <v>51.49</v>
      </c>
      <c r="D3" s="1">
        <v>50.2</v>
      </c>
      <c r="E3" s="1">
        <v>57.2</v>
      </c>
      <c r="F3" s="1">
        <v>58.14</v>
      </c>
      <c r="G3" s="1">
        <v>56.15</v>
      </c>
    </row>
    <row r="4" spans="1:7" x14ac:dyDescent="0.25">
      <c r="A4" s="1" t="s">
        <v>8</v>
      </c>
      <c r="B4" s="1">
        <v>41092.89</v>
      </c>
      <c r="C4" s="1">
        <v>35249.58</v>
      </c>
      <c r="D4" s="1">
        <v>33477.11</v>
      </c>
      <c r="E4" s="1">
        <v>42989.11</v>
      </c>
      <c r="F4" s="1">
        <v>44391.07</v>
      </c>
      <c r="G4" s="1">
        <v>39115.980000000003</v>
      </c>
    </row>
    <row r="5" spans="1:7" x14ac:dyDescent="0.25">
      <c r="A5" s="1" t="s">
        <v>9</v>
      </c>
      <c r="B5" s="1">
        <v>1004.06</v>
      </c>
      <c r="C5" s="1">
        <v>1312.66</v>
      </c>
      <c r="D5" s="1">
        <v>982.49</v>
      </c>
      <c r="E5" s="1">
        <v>763.35</v>
      </c>
      <c r="F5" s="1">
        <v>651.26</v>
      </c>
      <c r="G5" s="1">
        <v>1135.93</v>
      </c>
    </row>
    <row r="6" spans="1:7" x14ac:dyDescent="0.25">
      <c r="A6" s="3" t="s">
        <v>10</v>
      </c>
      <c r="B6" s="3">
        <v>100.41</v>
      </c>
      <c r="C6" s="3">
        <v>132.59</v>
      </c>
      <c r="D6" s="3">
        <v>99.24</v>
      </c>
      <c r="E6" s="3">
        <v>77.11</v>
      </c>
      <c r="F6" s="3">
        <v>65.78</v>
      </c>
      <c r="G6" s="3">
        <v>115.91</v>
      </c>
    </row>
    <row r="7" spans="1:7" x14ac:dyDescent="0.25">
      <c r="A7" s="1" t="s">
        <v>11</v>
      </c>
      <c r="B7" s="1">
        <v>982.15</v>
      </c>
      <c r="C7" s="1">
        <v>1285.3699999999999</v>
      </c>
      <c r="D7" s="1">
        <v>948.97</v>
      </c>
      <c r="E7" s="1">
        <v>730.72</v>
      </c>
      <c r="F7" s="1">
        <v>621.71</v>
      </c>
      <c r="G7" s="1">
        <v>1115.04</v>
      </c>
    </row>
    <row r="8" spans="1:7" x14ac:dyDescent="0.25">
      <c r="A8" s="1" t="s">
        <v>12</v>
      </c>
      <c r="B8" s="1">
        <v>98.21</v>
      </c>
      <c r="C8" s="1">
        <v>129.84</v>
      </c>
      <c r="D8" s="1">
        <v>95.86</v>
      </c>
      <c r="E8" s="1">
        <v>73.81</v>
      </c>
      <c r="F8" s="1">
        <v>62.8</v>
      </c>
      <c r="G8" s="1">
        <v>113.78</v>
      </c>
    </row>
    <row r="9" spans="1:7" x14ac:dyDescent="0.25">
      <c r="A9" s="1" t="s">
        <v>13</v>
      </c>
      <c r="B9" s="1">
        <v>979.47</v>
      </c>
      <c r="C9" s="1">
        <v>1285.3699999999999</v>
      </c>
      <c r="D9" s="1">
        <v>914.56</v>
      </c>
      <c r="E9" s="1">
        <v>730.26</v>
      </c>
      <c r="F9" s="1">
        <v>462.01</v>
      </c>
      <c r="G9" s="1">
        <v>1115.04</v>
      </c>
    </row>
    <row r="10" spans="1:7" x14ac:dyDescent="0.25">
      <c r="A10" s="1" t="s">
        <v>14</v>
      </c>
      <c r="B10" s="1">
        <v>97.95</v>
      </c>
      <c r="C10" s="1">
        <v>129.84</v>
      </c>
      <c r="D10" s="1">
        <v>92.38</v>
      </c>
      <c r="E10" s="1">
        <v>73.760000000000005</v>
      </c>
      <c r="F10" s="1">
        <v>46.67</v>
      </c>
      <c r="G10" s="1">
        <v>113.78</v>
      </c>
    </row>
    <row r="11" spans="1:7" x14ac:dyDescent="0.25">
      <c r="A11" s="1" t="s">
        <v>15</v>
      </c>
      <c r="B11" s="1">
        <v>663.88</v>
      </c>
      <c r="C11" s="1">
        <v>1130.1600000000001</v>
      </c>
      <c r="D11" s="1">
        <v>847.6</v>
      </c>
      <c r="E11" s="1">
        <v>677.03</v>
      </c>
      <c r="F11" s="1">
        <v>279.95</v>
      </c>
      <c r="G11" s="1">
        <v>1048.8499999999999</v>
      </c>
    </row>
    <row r="12" spans="1:7" x14ac:dyDescent="0.25">
      <c r="A12" s="1" t="s">
        <v>16</v>
      </c>
      <c r="B12" s="1">
        <v>351.13</v>
      </c>
      <c r="C12" s="1">
        <v>393.56</v>
      </c>
      <c r="D12" s="1">
        <v>350.69</v>
      </c>
      <c r="E12" s="1">
        <v>354.46</v>
      </c>
      <c r="F12" s="1">
        <v>355.34</v>
      </c>
      <c r="G12" s="1">
        <v>358</v>
      </c>
    </row>
    <row r="13" spans="1:7" x14ac:dyDescent="0.25">
      <c r="A13" s="1" t="s">
        <v>17</v>
      </c>
      <c r="B13" s="1">
        <v>44.35</v>
      </c>
      <c r="C13" s="1">
        <v>27.2</v>
      </c>
      <c r="D13" s="1">
        <v>22.31</v>
      </c>
      <c r="E13" s="1">
        <v>16.920000000000002</v>
      </c>
      <c r="F13" s="1">
        <v>35.75</v>
      </c>
      <c r="G13" s="1">
        <v>22.84</v>
      </c>
    </row>
    <row r="14" spans="1:7" x14ac:dyDescent="0.25">
      <c r="A14" s="1" t="s">
        <v>18</v>
      </c>
      <c r="B14" s="1">
        <v>133.85</v>
      </c>
      <c r="C14" s="1">
        <v>79.790000000000006</v>
      </c>
      <c r="D14" s="1">
        <v>54.01</v>
      </c>
      <c r="E14" s="1">
        <v>51.87</v>
      </c>
      <c r="F14" s="1">
        <v>82.83</v>
      </c>
      <c r="G14" s="1">
        <v>58.6</v>
      </c>
    </row>
    <row r="15" spans="1:7" x14ac:dyDescent="0.25">
      <c r="A15" s="1" t="s">
        <v>19</v>
      </c>
      <c r="B15" s="1">
        <v>1</v>
      </c>
      <c r="C15" s="1">
        <v>4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980.81</v>
      </c>
      <c r="C17" s="1">
        <v>1285.3699999999999</v>
      </c>
      <c r="D17" s="1">
        <v>931.76</v>
      </c>
      <c r="E17" s="1">
        <v>730.49</v>
      </c>
      <c r="F17" s="1">
        <v>541.86</v>
      </c>
      <c r="G17" s="1">
        <v>1115.04</v>
      </c>
    </row>
    <row r="18" spans="1:7" x14ac:dyDescent="0.25">
      <c r="A18" s="1" t="s">
        <v>22</v>
      </c>
      <c r="B18" s="1">
        <v>1.34</v>
      </c>
      <c r="C18" s="1">
        <v>0</v>
      </c>
      <c r="D18" s="1">
        <v>17.21</v>
      </c>
      <c r="E18" s="1">
        <v>0.23</v>
      </c>
      <c r="F18" s="1">
        <v>79.849999999999994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1.1000000000000001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19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11.000000000000002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100.75</v>
      </c>
      <c r="C33" s="3">
        <v>135.91999999999999</v>
      </c>
      <c r="D33" s="3">
        <v>93.14</v>
      </c>
      <c r="E33" s="3">
        <v>75.66</v>
      </c>
      <c r="F33" s="3">
        <v>33.78</v>
      </c>
      <c r="G33" s="3">
        <v>115.67</v>
      </c>
    </row>
    <row r="35" spans="1:7" x14ac:dyDescent="0.25">
      <c r="A35" s="3" t="s">
        <v>36</v>
      </c>
      <c r="B35" s="3"/>
      <c r="C35" s="3"/>
      <c r="D35" s="3">
        <f>D33-C33</f>
        <v>-42.779999999999987</v>
      </c>
      <c r="E35" s="3"/>
      <c r="F35" s="3">
        <f>F33-E33</f>
        <v>-41.879999999999995</v>
      </c>
      <c r="G35" s="3"/>
    </row>
    <row r="37" spans="1:7" x14ac:dyDescent="0.25">
      <c r="A37" s="3" t="s">
        <v>36</v>
      </c>
      <c r="B37" s="3"/>
      <c r="C37" s="3">
        <f>C33-B33</f>
        <v>35.169999999999987</v>
      </c>
      <c r="D37" s="3"/>
      <c r="E37" s="3">
        <f>E33-D33</f>
        <v>-17.480000000000004</v>
      </c>
      <c r="F37" s="3"/>
      <c r="G37" s="3">
        <f>G33-F33</f>
        <v>81.89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905A-0305-4E4B-A94F-4338E5C4D035}">
  <dimension ref="A1:G37"/>
  <sheetViews>
    <sheetView topLeftCell="A4" workbookViewId="0">
      <selection activeCell="H31" sqref="H3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717.97</v>
      </c>
      <c r="C2" s="1">
        <v>576.91999999999996</v>
      </c>
      <c r="D2" s="1">
        <v>662.26</v>
      </c>
      <c r="E2" s="1">
        <v>703.96</v>
      </c>
      <c r="F2" s="1">
        <v>612.29</v>
      </c>
      <c r="G2" s="1">
        <v>598.46</v>
      </c>
    </row>
    <row r="3" spans="1:7" x14ac:dyDescent="0.25">
      <c r="A3" s="1" t="s">
        <v>7</v>
      </c>
      <c r="B3" s="1">
        <v>53.23</v>
      </c>
      <c r="C3" s="1">
        <v>51.82</v>
      </c>
      <c r="D3" s="1">
        <v>48.4</v>
      </c>
      <c r="E3" s="1">
        <v>48</v>
      </c>
      <c r="F3" s="1">
        <v>49.95</v>
      </c>
      <c r="G3" s="1">
        <v>53.34</v>
      </c>
    </row>
    <row r="4" spans="1:7" x14ac:dyDescent="0.25">
      <c r="A4" s="1" t="s">
        <v>8</v>
      </c>
      <c r="B4" s="1">
        <v>38821.4</v>
      </c>
      <c r="C4" s="1">
        <v>30332.47</v>
      </c>
      <c r="D4" s="1">
        <v>32456.45</v>
      </c>
      <c r="E4" s="1">
        <v>34256.769999999997</v>
      </c>
      <c r="F4" s="1">
        <v>30962.799999999999</v>
      </c>
      <c r="G4" s="1">
        <v>32256.07</v>
      </c>
    </row>
    <row r="5" spans="1:7" x14ac:dyDescent="0.25">
      <c r="A5" s="1" t="s">
        <v>9</v>
      </c>
      <c r="B5" s="1">
        <v>725.66</v>
      </c>
      <c r="C5" s="1">
        <v>955.61</v>
      </c>
      <c r="D5" s="1">
        <v>818.06</v>
      </c>
      <c r="E5" s="1">
        <v>454.06</v>
      </c>
      <c r="F5" s="1">
        <v>696.97</v>
      </c>
      <c r="G5" s="1">
        <v>898.35</v>
      </c>
    </row>
    <row r="6" spans="1:7" x14ac:dyDescent="0.25">
      <c r="A6" s="3" t="s">
        <v>10</v>
      </c>
      <c r="B6" s="3">
        <v>72.569999999999993</v>
      </c>
      <c r="C6" s="3">
        <v>96.53</v>
      </c>
      <c r="D6" s="3">
        <v>82.63</v>
      </c>
      <c r="E6" s="3">
        <v>45.86</v>
      </c>
      <c r="F6" s="3">
        <v>70.400000000000006</v>
      </c>
      <c r="G6" s="3">
        <v>91.67</v>
      </c>
    </row>
    <row r="7" spans="1:7" x14ac:dyDescent="0.25">
      <c r="A7" s="1" t="s">
        <v>11</v>
      </c>
      <c r="B7" s="1">
        <v>711.97</v>
      </c>
      <c r="C7" s="1">
        <v>722.87</v>
      </c>
      <c r="D7" s="1">
        <v>773.76</v>
      </c>
      <c r="E7" s="1">
        <v>431.44</v>
      </c>
      <c r="F7" s="1">
        <v>646.85</v>
      </c>
      <c r="G7" s="1">
        <v>879.02</v>
      </c>
    </row>
    <row r="8" spans="1:7" x14ac:dyDescent="0.25">
      <c r="A8" s="1" t="s">
        <v>12</v>
      </c>
      <c r="B8" s="1">
        <v>71.2</v>
      </c>
      <c r="C8" s="1">
        <v>73.02</v>
      </c>
      <c r="D8" s="1">
        <v>78.16</v>
      </c>
      <c r="E8" s="1">
        <v>43.58</v>
      </c>
      <c r="F8" s="1">
        <v>65.34</v>
      </c>
      <c r="G8" s="1">
        <v>89.7</v>
      </c>
    </row>
    <row r="9" spans="1:7" x14ac:dyDescent="0.25">
      <c r="A9" s="1" t="s">
        <v>13</v>
      </c>
      <c r="B9" s="1">
        <v>707.42</v>
      </c>
      <c r="C9" s="1">
        <v>245.34</v>
      </c>
      <c r="D9" s="1">
        <v>718.19</v>
      </c>
      <c r="E9" s="1">
        <v>186.25</v>
      </c>
      <c r="F9" s="1">
        <v>243.96</v>
      </c>
      <c r="G9" s="1">
        <v>-348.72</v>
      </c>
    </row>
    <row r="10" spans="1:7" x14ac:dyDescent="0.25">
      <c r="A10" s="1" t="s">
        <v>14</v>
      </c>
      <c r="B10" s="1">
        <v>70.739999999999995</v>
      </c>
      <c r="C10" s="1">
        <v>24.78</v>
      </c>
      <c r="D10" s="1">
        <v>72.540000000000006</v>
      </c>
      <c r="E10" s="1">
        <v>18.809999999999999</v>
      </c>
      <c r="F10" s="1">
        <v>24.64</v>
      </c>
      <c r="G10" s="1">
        <v>-35.58</v>
      </c>
    </row>
    <row r="11" spans="1:7" x14ac:dyDescent="0.25">
      <c r="A11" s="1" t="s">
        <v>15</v>
      </c>
      <c r="B11" s="1">
        <v>651.23</v>
      </c>
      <c r="C11" s="1">
        <v>189.73</v>
      </c>
      <c r="D11" s="1">
        <v>355.06</v>
      </c>
      <c r="E11" s="1">
        <v>62.22</v>
      </c>
      <c r="F11" s="1">
        <v>56.82</v>
      </c>
      <c r="G11" s="1">
        <v>223.79</v>
      </c>
    </row>
    <row r="12" spans="1:7" x14ac:dyDescent="0.25">
      <c r="A12" s="1" t="s">
        <v>16</v>
      </c>
      <c r="B12" s="1">
        <v>368.16</v>
      </c>
      <c r="C12" s="1">
        <v>219.37</v>
      </c>
      <c r="D12" s="1">
        <v>332.28</v>
      </c>
      <c r="E12" s="1">
        <v>325.20999999999998</v>
      </c>
      <c r="F12" s="1">
        <v>250.09</v>
      </c>
      <c r="G12" s="1">
        <v>302.01</v>
      </c>
    </row>
    <row r="13" spans="1:7" x14ac:dyDescent="0.25">
      <c r="A13" s="1" t="s">
        <v>17</v>
      </c>
      <c r="B13" s="1">
        <v>25.2</v>
      </c>
      <c r="C13" s="1">
        <v>75.91</v>
      </c>
      <c r="D13" s="1">
        <v>60.01</v>
      </c>
      <c r="E13" s="1">
        <v>38.380000000000003</v>
      </c>
      <c r="F13" s="1">
        <v>26.67</v>
      </c>
      <c r="G13" s="1">
        <v>37.96</v>
      </c>
    </row>
    <row r="14" spans="1:7" x14ac:dyDescent="0.25">
      <c r="A14" s="1" t="s">
        <v>18</v>
      </c>
      <c r="B14" s="1">
        <v>74.47</v>
      </c>
      <c r="C14" s="1">
        <v>123.73</v>
      </c>
      <c r="D14" s="1">
        <v>116.4</v>
      </c>
      <c r="E14" s="1">
        <v>59.96</v>
      </c>
      <c r="F14" s="1">
        <v>61.86</v>
      </c>
      <c r="G14" s="1">
        <v>82.06</v>
      </c>
    </row>
    <row r="15" spans="1:7" x14ac:dyDescent="0.25">
      <c r="A15" s="1" t="s">
        <v>19</v>
      </c>
      <c r="B15" s="1">
        <v>1</v>
      </c>
      <c r="C15" s="1">
        <v>5</v>
      </c>
      <c r="D15" s="1">
        <v>2</v>
      </c>
      <c r="E15" s="1">
        <v>1</v>
      </c>
      <c r="F15" s="1">
        <v>6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709.7</v>
      </c>
      <c r="C17" s="1">
        <v>484.1</v>
      </c>
      <c r="D17" s="1">
        <v>745.97</v>
      </c>
      <c r="E17" s="1">
        <v>308.85000000000002</v>
      </c>
      <c r="F17" s="1">
        <v>445.41</v>
      </c>
      <c r="G17" s="1">
        <v>265.14999999999998</v>
      </c>
    </row>
    <row r="18" spans="1:7" x14ac:dyDescent="0.25">
      <c r="A18" s="1" t="s">
        <v>22</v>
      </c>
      <c r="B18" s="1">
        <v>2.27</v>
      </c>
      <c r="C18" s="1">
        <v>238.77</v>
      </c>
      <c r="D18" s="1">
        <v>27.79</v>
      </c>
      <c r="E18" s="1">
        <v>122.59</v>
      </c>
      <c r="F18" s="1">
        <v>201.45</v>
      </c>
      <c r="G18" s="1">
        <v>613.87</v>
      </c>
    </row>
    <row r="19" spans="1:7" x14ac:dyDescent="0.25">
      <c r="A19" s="1" t="s">
        <v>23</v>
      </c>
      <c r="B19" s="1">
        <v>0</v>
      </c>
      <c r="C19" s="1">
        <v>4</v>
      </c>
      <c r="D19" s="1">
        <v>1</v>
      </c>
      <c r="E19" s="1">
        <v>4</v>
      </c>
      <c r="F19" s="1">
        <v>3</v>
      </c>
      <c r="G19" s="1">
        <v>4</v>
      </c>
    </row>
    <row r="20" spans="1:7" x14ac:dyDescent="0.25">
      <c r="A20" s="1" t="s">
        <v>24</v>
      </c>
      <c r="B20" s="1">
        <v>0</v>
      </c>
      <c r="C20" s="1">
        <v>4.8</v>
      </c>
      <c r="D20" s="1">
        <v>1.3</v>
      </c>
      <c r="E20" s="1">
        <v>4.3</v>
      </c>
      <c r="F20" s="1">
        <v>3.1</v>
      </c>
      <c r="G20" s="1">
        <v>5.6</v>
      </c>
    </row>
    <row r="21" spans="1:7" x14ac:dyDescent="0.25">
      <c r="A21" s="1" t="s">
        <v>25</v>
      </c>
      <c r="B21" s="1">
        <v>10.1</v>
      </c>
      <c r="C21" s="1">
        <v>5.2</v>
      </c>
      <c r="D21" s="1">
        <v>8.6999999999999993</v>
      </c>
      <c r="E21" s="1">
        <v>5.7</v>
      </c>
      <c r="F21" s="1">
        <v>6.9</v>
      </c>
      <c r="G21" s="1">
        <v>4.3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3.7</v>
      </c>
      <c r="D24" s="1">
        <v>0</v>
      </c>
      <c r="E24" s="1">
        <v>1.2</v>
      </c>
      <c r="F24" s="1">
        <v>1.3</v>
      </c>
      <c r="G24" s="1">
        <v>5.3</v>
      </c>
    </row>
    <row r="25" spans="1:7" x14ac:dyDescent="0.25">
      <c r="A25" s="1" t="s">
        <v>29</v>
      </c>
      <c r="B25" s="1">
        <v>1.6</v>
      </c>
      <c r="C25" s="1">
        <v>5.2</v>
      </c>
      <c r="D25" s="1">
        <v>4.0999999999999996</v>
      </c>
      <c r="E25" s="1">
        <v>7.8</v>
      </c>
      <c r="F25" s="1">
        <v>5.5</v>
      </c>
      <c r="G25" s="1">
        <v>3.3</v>
      </c>
    </row>
    <row r="26" spans="1:7" x14ac:dyDescent="0.25">
      <c r="A26" s="1" t="s">
        <v>30</v>
      </c>
      <c r="B26" s="1">
        <v>8.5</v>
      </c>
      <c r="C26" s="1">
        <v>1.1000000000000001</v>
      </c>
      <c r="D26" s="1">
        <v>5.9</v>
      </c>
      <c r="E26" s="1">
        <v>1</v>
      </c>
      <c r="F26" s="1">
        <v>3.2</v>
      </c>
      <c r="G26" s="1">
        <v>1.3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37</v>
      </c>
      <c r="D29" s="3">
        <f t="shared" si="1"/>
        <v>0</v>
      </c>
      <c r="E29" s="3">
        <f t="shared" si="1"/>
        <v>12</v>
      </c>
      <c r="F29" s="3">
        <f t="shared" si="1"/>
        <v>13</v>
      </c>
      <c r="G29" s="3">
        <f t="shared" si="1"/>
        <v>53.535353535353536</v>
      </c>
    </row>
    <row r="30" spans="1:7" x14ac:dyDescent="0.25">
      <c r="A30" s="3" t="s">
        <v>33</v>
      </c>
      <c r="B30" s="3">
        <f>B25/B28*100</f>
        <v>15.841584158415841</v>
      </c>
      <c r="C30" s="3">
        <f t="shared" ref="C30:G30" si="2">C25/C28*100</f>
        <v>52</v>
      </c>
      <c r="D30" s="3">
        <f t="shared" si="2"/>
        <v>41</v>
      </c>
      <c r="E30" s="3">
        <f t="shared" si="2"/>
        <v>78</v>
      </c>
      <c r="F30" s="3">
        <f t="shared" si="2"/>
        <v>55.000000000000007</v>
      </c>
      <c r="G30" s="3">
        <f t="shared" si="2"/>
        <v>33.333333333333329</v>
      </c>
    </row>
    <row r="31" spans="1:7" x14ac:dyDescent="0.25">
      <c r="A31" s="3" t="s">
        <v>34</v>
      </c>
      <c r="B31" s="3">
        <f>B26/B28*100</f>
        <v>84.158415841584173</v>
      </c>
      <c r="C31" s="3">
        <f t="shared" ref="C31:G31" si="3">C26/C28*100</f>
        <v>11.000000000000002</v>
      </c>
      <c r="D31" s="3">
        <f t="shared" si="3"/>
        <v>59.000000000000007</v>
      </c>
      <c r="E31" s="3">
        <f t="shared" si="3"/>
        <v>10</v>
      </c>
      <c r="F31" s="3">
        <f t="shared" si="3"/>
        <v>32</v>
      </c>
      <c r="G31" s="3">
        <f t="shared" si="3"/>
        <v>13.131313131313133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69.84</v>
      </c>
      <c r="C33" s="3">
        <v>-13.06</v>
      </c>
      <c r="D33" s="3">
        <v>70.59</v>
      </c>
      <c r="E33" s="3">
        <v>2.8</v>
      </c>
      <c r="F33" s="3">
        <v>7.16</v>
      </c>
      <c r="G33" s="3">
        <v>-25.98</v>
      </c>
    </row>
    <row r="35" spans="1:7" x14ac:dyDescent="0.25">
      <c r="A35" s="3" t="s">
        <v>36</v>
      </c>
      <c r="B35" s="3"/>
      <c r="C35" s="3"/>
      <c r="D35" s="3">
        <f>D33-C33</f>
        <v>83.65</v>
      </c>
      <c r="E35" s="3"/>
      <c r="F35" s="3">
        <f>F33-E33</f>
        <v>4.3600000000000003</v>
      </c>
      <c r="G35" s="3"/>
    </row>
    <row r="37" spans="1:7" x14ac:dyDescent="0.25">
      <c r="A37" s="3" t="s">
        <v>36</v>
      </c>
      <c r="B37" s="3"/>
      <c r="C37" s="3">
        <f>C33-B33</f>
        <v>-82.9</v>
      </c>
      <c r="D37" s="3"/>
      <c r="E37" s="3">
        <f>E33-D33</f>
        <v>-67.790000000000006</v>
      </c>
      <c r="F37" s="3"/>
      <c r="G37" s="3">
        <f>G33-F33</f>
        <v>-33.14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42AB-0936-4289-A49D-47C3EB835809}">
  <dimension ref="A1:G37"/>
  <sheetViews>
    <sheetView tabSelected="1" topLeftCell="A4" workbookViewId="0">
      <selection activeCell="I36" sqref="I3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597.73</v>
      </c>
      <c r="C2" s="1">
        <v>679.7</v>
      </c>
      <c r="D2" s="1">
        <v>607.15</v>
      </c>
      <c r="E2" s="1">
        <v>728.32</v>
      </c>
      <c r="F2" s="1">
        <v>609.16</v>
      </c>
      <c r="G2" s="1">
        <v>786.15</v>
      </c>
    </row>
    <row r="3" spans="1:7" x14ac:dyDescent="0.25">
      <c r="A3" s="1" t="s">
        <v>7</v>
      </c>
      <c r="B3" s="1">
        <v>52.61</v>
      </c>
      <c r="C3" s="1">
        <v>47.18</v>
      </c>
      <c r="D3" s="1">
        <v>51.73</v>
      </c>
      <c r="E3" s="1">
        <v>48.81</v>
      </c>
      <c r="F3" s="1">
        <v>54.28</v>
      </c>
      <c r="G3" s="1">
        <v>47.96</v>
      </c>
    </row>
    <row r="4" spans="1:7" x14ac:dyDescent="0.25">
      <c r="A4" s="1" t="s">
        <v>8</v>
      </c>
      <c r="B4" s="1">
        <v>31979.06</v>
      </c>
      <c r="C4" s="1">
        <v>32457.7</v>
      </c>
      <c r="D4" s="1">
        <v>31708.04</v>
      </c>
      <c r="E4" s="1">
        <v>36070.03</v>
      </c>
      <c r="F4" s="1">
        <v>33214.230000000003</v>
      </c>
      <c r="G4" s="1">
        <v>38310.800000000003</v>
      </c>
    </row>
    <row r="5" spans="1:7" x14ac:dyDescent="0.25">
      <c r="A5" s="1" t="s">
        <v>9</v>
      </c>
      <c r="B5" s="1">
        <v>1302.92</v>
      </c>
      <c r="C5" s="1">
        <v>1348.31</v>
      </c>
      <c r="D5" s="1">
        <v>941.3</v>
      </c>
      <c r="E5" s="1">
        <v>845.03</v>
      </c>
      <c r="F5" s="1">
        <v>867.12</v>
      </c>
      <c r="G5" s="1">
        <v>963.02</v>
      </c>
    </row>
    <row r="6" spans="1:7" x14ac:dyDescent="0.25">
      <c r="A6" s="3" t="s">
        <v>10</v>
      </c>
      <c r="B6" s="3">
        <v>130.29</v>
      </c>
      <c r="C6" s="3">
        <v>136.19</v>
      </c>
      <c r="D6" s="3">
        <v>95.08</v>
      </c>
      <c r="E6" s="3">
        <v>85.36</v>
      </c>
      <c r="F6" s="3">
        <v>87.59</v>
      </c>
      <c r="G6" s="3">
        <v>98.27</v>
      </c>
    </row>
    <row r="7" spans="1:7" x14ac:dyDescent="0.25">
      <c r="A7" s="1" t="s">
        <v>11</v>
      </c>
      <c r="B7" s="1">
        <v>1182.69</v>
      </c>
      <c r="C7" s="1">
        <v>1286.6600000000001</v>
      </c>
      <c r="D7" s="1">
        <v>816.62</v>
      </c>
      <c r="E7" s="1">
        <v>807.45</v>
      </c>
      <c r="F7" s="1">
        <v>718.27</v>
      </c>
      <c r="G7" s="1">
        <v>942.19</v>
      </c>
    </row>
    <row r="8" spans="1:7" x14ac:dyDescent="0.25">
      <c r="A8" s="1" t="s">
        <v>12</v>
      </c>
      <c r="B8" s="1">
        <v>118.27</v>
      </c>
      <c r="C8" s="1">
        <v>129.97</v>
      </c>
      <c r="D8" s="1">
        <v>82.49</v>
      </c>
      <c r="E8" s="1">
        <v>81.56</v>
      </c>
      <c r="F8" s="1">
        <v>72.55</v>
      </c>
      <c r="G8" s="1">
        <v>96.14</v>
      </c>
    </row>
    <row r="9" spans="1:7" x14ac:dyDescent="0.25">
      <c r="A9" s="1" t="s">
        <v>13</v>
      </c>
      <c r="B9" s="1">
        <v>-651.57000000000005</v>
      </c>
      <c r="C9" s="1">
        <v>945.28</v>
      </c>
      <c r="D9" s="1">
        <v>-606.16999999999996</v>
      </c>
      <c r="E9" s="1">
        <v>496.3</v>
      </c>
      <c r="F9" s="1">
        <v>-381.65</v>
      </c>
      <c r="G9" s="1">
        <v>937.03</v>
      </c>
    </row>
    <row r="10" spans="1:7" x14ac:dyDescent="0.25">
      <c r="A10" s="1" t="s">
        <v>14</v>
      </c>
      <c r="B10" s="1">
        <v>-65.16</v>
      </c>
      <c r="C10" s="1">
        <v>95.48</v>
      </c>
      <c r="D10" s="1">
        <v>-61.23</v>
      </c>
      <c r="E10" s="1">
        <v>50.13</v>
      </c>
      <c r="F10" s="1">
        <v>-38.549999999999997</v>
      </c>
      <c r="G10" s="1">
        <v>95.62</v>
      </c>
    </row>
    <row r="11" spans="1:7" x14ac:dyDescent="0.25">
      <c r="A11" s="1" t="s">
        <v>15</v>
      </c>
      <c r="B11" s="1">
        <v>459.85</v>
      </c>
      <c r="C11" s="1">
        <v>875.09</v>
      </c>
      <c r="D11" s="1">
        <v>299.61</v>
      </c>
      <c r="E11" s="1">
        <v>232.78</v>
      </c>
      <c r="F11" s="1">
        <v>153.99</v>
      </c>
      <c r="G11" s="1">
        <v>838.44</v>
      </c>
    </row>
    <row r="12" spans="1:7" x14ac:dyDescent="0.25">
      <c r="A12" s="1" t="s">
        <v>16</v>
      </c>
      <c r="B12" s="1">
        <v>280.19</v>
      </c>
      <c r="C12" s="1">
        <v>355.3</v>
      </c>
      <c r="D12" s="1">
        <v>277.48</v>
      </c>
      <c r="E12" s="1">
        <v>304.08999999999997</v>
      </c>
      <c r="F12" s="1">
        <v>214.23</v>
      </c>
      <c r="G12" s="1">
        <v>394.19</v>
      </c>
    </row>
    <row r="13" spans="1:7" x14ac:dyDescent="0.25">
      <c r="A13" s="1" t="s">
        <v>17</v>
      </c>
      <c r="B13" s="1">
        <v>64.91</v>
      </c>
      <c r="C13" s="1">
        <v>32.229999999999997</v>
      </c>
      <c r="D13" s="1">
        <v>40.17</v>
      </c>
      <c r="E13" s="1">
        <v>78.099999999999994</v>
      </c>
      <c r="F13" s="1">
        <v>80.58</v>
      </c>
      <c r="G13" s="1">
        <v>38.01</v>
      </c>
    </row>
    <row r="14" spans="1:7" x14ac:dyDescent="0.25">
      <c r="A14" s="1" t="s">
        <v>18</v>
      </c>
      <c r="B14" s="1">
        <v>136.88999999999999</v>
      </c>
      <c r="C14" s="1">
        <v>97.04</v>
      </c>
      <c r="D14" s="1">
        <v>119.82</v>
      </c>
      <c r="E14" s="1">
        <v>156.25</v>
      </c>
      <c r="F14" s="1">
        <v>130.9</v>
      </c>
      <c r="G14" s="1">
        <v>67.959999999999994</v>
      </c>
    </row>
    <row r="15" spans="1:7" x14ac:dyDescent="0.25">
      <c r="A15" s="1" t="s">
        <v>19</v>
      </c>
      <c r="B15" s="1">
        <v>4</v>
      </c>
      <c r="C15" s="1">
        <v>4</v>
      </c>
      <c r="D15" s="1">
        <v>5</v>
      </c>
      <c r="E15" s="1">
        <v>3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265.56</v>
      </c>
      <c r="C17" s="1">
        <v>1115.97</v>
      </c>
      <c r="D17" s="1">
        <v>105.22</v>
      </c>
      <c r="E17" s="1">
        <v>651.87</v>
      </c>
      <c r="F17" s="1">
        <v>168.31</v>
      </c>
      <c r="G17" s="1">
        <v>939.61</v>
      </c>
    </row>
    <row r="18" spans="1:7" x14ac:dyDescent="0.25">
      <c r="A18" s="1" t="s">
        <v>22</v>
      </c>
      <c r="B18" s="1">
        <v>917.13</v>
      </c>
      <c r="C18" s="1">
        <v>170.69</v>
      </c>
      <c r="D18" s="1">
        <v>711.39</v>
      </c>
      <c r="E18" s="1">
        <v>155.57</v>
      </c>
      <c r="F18" s="1">
        <v>549.96</v>
      </c>
      <c r="G18" s="1">
        <v>2.58</v>
      </c>
    </row>
    <row r="19" spans="1:7" x14ac:dyDescent="0.25">
      <c r="A19" s="1" t="s">
        <v>23</v>
      </c>
      <c r="B19" s="1">
        <v>2</v>
      </c>
      <c r="C19" s="1">
        <v>1</v>
      </c>
      <c r="D19" s="1">
        <v>3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6.9</v>
      </c>
      <c r="C20" s="1">
        <v>0.6</v>
      </c>
      <c r="D20" s="1">
        <v>8.1</v>
      </c>
      <c r="E20" s="1">
        <v>2.6</v>
      </c>
      <c r="F20" s="1">
        <v>5.2</v>
      </c>
      <c r="G20" s="1">
        <v>0</v>
      </c>
    </row>
    <row r="21" spans="1:7" x14ac:dyDescent="0.25">
      <c r="A21" s="1" t="s">
        <v>25</v>
      </c>
      <c r="B21" s="1">
        <v>3.2</v>
      </c>
      <c r="C21" s="1">
        <v>9.4</v>
      </c>
      <c r="D21" s="1">
        <v>1.9</v>
      </c>
      <c r="E21" s="1">
        <v>7.4</v>
      </c>
      <c r="F21" s="1">
        <v>4.8</v>
      </c>
      <c r="G21" s="1">
        <v>9.9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1.1000000000000001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6.6</v>
      </c>
      <c r="C24" s="1">
        <v>0</v>
      </c>
      <c r="D24" s="1">
        <v>4.9000000000000004</v>
      </c>
      <c r="E24" s="1">
        <v>2.2999999999999998</v>
      </c>
      <c r="F24" s="1">
        <v>2.2999999999999998</v>
      </c>
      <c r="G24" s="1">
        <v>0</v>
      </c>
    </row>
    <row r="25" spans="1:7" x14ac:dyDescent="0.25">
      <c r="A25" s="1" t="s">
        <v>29</v>
      </c>
      <c r="B25" s="1">
        <v>1.3</v>
      </c>
      <c r="C25" s="1">
        <v>0</v>
      </c>
      <c r="D25" s="1">
        <v>5.0999999999999996</v>
      </c>
      <c r="E25" s="1">
        <v>0</v>
      </c>
      <c r="F25" s="1">
        <v>3.7</v>
      </c>
      <c r="G25" s="1">
        <v>0</v>
      </c>
    </row>
    <row r="26" spans="1:7" x14ac:dyDescent="0.25">
      <c r="A26" s="1" t="s">
        <v>30</v>
      </c>
      <c r="B26" s="1">
        <v>2.2000000000000002</v>
      </c>
      <c r="C26" s="1">
        <v>10</v>
      </c>
      <c r="D26" s="1">
        <v>0</v>
      </c>
      <c r="E26" s="1">
        <v>7.7</v>
      </c>
      <c r="F26" s="1">
        <v>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65.346534653465355</v>
      </c>
      <c r="C29" s="3">
        <f t="shared" ref="C29:G29" si="1">C24/C28*100</f>
        <v>0</v>
      </c>
      <c r="D29" s="3">
        <f t="shared" si="1"/>
        <v>49.000000000000007</v>
      </c>
      <c r="E29" s="3">
        <f t="shared" si="1"/>
        <v>23</v>
      </c>
      <c r="F29" s="3">
        <f t="shared" si="1"/>
        <v>23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12.871287128712872</v>
      </c>
      <c r="C30" s="3">
        <f t="shared" ref="C30:G30" si="2">C25/C28*100</f>
        <v>0</v>
      </c>
      <c r="D30" s="3">
        <f t="shared" si="2"/>
        <v>51</v>
      </c>
      <c r="E30" s="3">
        <f t="shared" si="2"/>
        <v>0</v>
      </c>
      <c r="F30" s="3">
        <f t="shared" si="2"/>
        <v>37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21.782178217821784</v>
      </c>
      <c r="C31" s="3">
        <f t="shared" ref="C31:G31" si="3">C26/C28*100</f>
        <v>100</v>
      </c>
      <c r="D31" s="3">
        <f t="shared" si="3"/>
        <v>0</v>
      </c>
      <c r="E31" s="3">
        <f t="shared" si="3"/>
        <v>77</v>
      </c>
      <c r="F31" s="3">
        <f t="shared" si="3"/>
        <v>40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-19.52</v>
      </c>
      <c r="C33" s="3">
        <v>100.75</v>
      </c>
      <c r="D33" s="3">
        <v>-61.23</v>
      </c>
      <c r="E33" s="3">
        <v>24.51</v>
      </c>
      <c r="F33" s="3">
        <v>-5.82</v>
      </c>
      <c r="G33" s="3">
        <v>96.43</v>
      </c>
    </row>
    <row r="35" spans="1:7" x14ac:dyDescent="0.25">
      <c r="A35" s="3" t="s">
        <v>36</v>
      </c>
      <c r="B35" s="3"/>
      <c r="C35" s="3"/>
      <c r="D35" s="3">
        <f>D33-C33</f>
        <v>-161.97999999999999</v>
      </c>
      <c r="E35" s="3"/>
      <c r="F35" s="3">
        <f>F33-E33</f>
        <v>-30.330000000000002</v>
      </c>
      <c r="G35" s="3"/>
    </row>
    <row r="37" spans="1:7" x14ac:dyDescent="0.25">
      <c r="A37" s="3" t="s">
        <v>36</v>
      </c>
      <c r="B37" s="3"/>
      <c r="C37" s="3">
        <f>C33-B33</f>
        <v>120.27</v>
      </c>
      <c r="D37" s="3"/>
      <c r="E37" s="3">
        <f>E33-D33</f>
        <v>85.74</v>
      </c>
      <c r="F37" s="3"/>
      <c r="G37" s="3">
        <f>G33-F33</f>
        <v>102.25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70DC-F730-4064-B349-9E522AC3CECE}">
  <dimension ref="A1:G37"/>
  <sheetViews>
    <sheetView topLeftCell="A7" workbookViewId="0">
      <selection activeCell="A39" sqref="A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230919B002.1</vt:lpstr>
      <vt:lpstr>230919B002.2</vt:lpstr>
      <vt:lpstr>230919B002.3</vt:lpstr>
      <vt:lpstr>230919B003.1</vt:lpstr>
      <vt:lpstr>230919B003.2</vt:lpstr>
      <vt:lpstr>230919B003.3</vt:lpstr>
      <vt:lpstr>230919B004.1</vt:lpstr>
      <vt:lpstr>230919B004.2</vt:lpstr>
      <vt:lpstr>230919B004.3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2023-09-25T21:54:33Z</dcterms:created>
  <dcterms:modified xsi:type="dcterms:W3CDTF">2023-09-25T23:56:59Z</dcterms:modified>
</cp:coreProperties>
</file>