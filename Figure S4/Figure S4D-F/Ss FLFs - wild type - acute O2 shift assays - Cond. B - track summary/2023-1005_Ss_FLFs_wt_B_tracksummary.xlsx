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Fs\wild-type\2023-1005\WormLab Data\"/>
    </mc:Choice>
  </mc:AlternateContent>
  <xr:revisionPtr revIDLastSave="0" documentId="13_ncr:1_{6CABB257-2FA0-42FB-A3DE-171AE51D7464}" xr6:coauthVersionLast="36" xr6:coauthVersionMax="36" xr10:uidLastSave="{00000000-0000-0000-0000-000000000000}"/>
  <bookViews>
    <workbookView xWindow="0" yWindow="0" windowWidth="25755" windowHeight="11640" firstSheet="1" activeTab="5" xr2:uid="{D47523E4-B117-4A48-9E15-1A0833F44F0F}"/>
  </bookViews>
  <sheets>
    <sheet name="231005B001.1" sheetId="2" r:id="rId1"/>
    <sheet name="231005B001.2" sheetId="3" r:id="rId2"/>
    <sheet name="231005B001.3" sheetId="4" r:id="rId3"/>
    <sheet name="231005B002.1" sheetId="5" r:id="rId4"/>
    <sheet name="231005B002.2" sheetId="6" r:id="rId5"/>
    <sheet name="231005B002.3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28" i="7"/>
  <c r="G30" i="7" s="1"/>
  <c r="F28" i="7"/>
  <c r="F30" i="7" s="1"/>
  <c r="E28" i="7"/>
  <c r="E30" i="7" s="1"/>
  <c r="D28" i="7"/>
  <c r="D29" i="7" s="1"/>
  <c r="C28" i="7"/>
  <c r="C29" i="7" s="1"/>
  <c r="B28" i="7"/>
  <c r="B31" i="7" s="1"/>
  <c r="G37" i="6"/>
  <c r="E37" i="6"/>
  <c r="C37" i="6"/>
  <c r="F35" i="6"/>
  <c r="D35" i="6"/>
  <c r="B31" i="6"/>
  <c r="B30" i="6"/>
  <c r="B29" i="6"/>
  <c r="G28" i="6"/>
  <c r="G31" i="6" s="1"/>
  <c r="F28" i="6"/>
  <c r="F31" i="6" s="1"/>
  <c r="E28" i="6"/>
  <c r="E31" i="6" s="1"/>
  <c r="D28" i="6"/>
  <c r="D31" i="6" s="1"/>
  <c r="C28" i="6"/>
  <c r="C31" i="6" s="1"/>
  <c r="B28" i="6"/>
  <c r="G37" i="5"/>
  <c r="E37" i="5"/>
  <c r="C37" i="5"/>
  <c r="F35" i="5"/>
  <c r="D35" i="5"/>
  <c r="D31" i="5"/>
  <c r="C31" i="5"/>
  <c r="D30" i="5"/>
  <c r="C30" i="5"/>
  <c r="G28" i="5"/>
  <c r="G31" i="5" s="1"/>
  <c r="F28" i="5"/>
  <c r="F30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C31" i="4"/>
  <c r="B31" i="4"/>
  <c r="C30" i="4"/>
  <c r="B30" i="4"/>
  <c r="G29" i="4"/>
  <c r="G28" i="4"/>
  <c r="G30" i="4" s="1"/>
  <c r="F28" i="4"/>
  <c r="F29" i="4" s="1"/>
  <c r="E28" i="4"/>
  <c r="E31" i="4" s="1"/>
  <c r="D28" i="4"/>
  <c r="D31" i="4" s="1"/>
  <c r="C28" i="4"/>
  <c r="C29" i="4" s="1"/>
  <c r="B28" i="4"/>
  <c r="B29" i="4" s="1"/>
  <c r="G37" i="3"/>
  <c r="E37" i="3"/>
  <c r="C37" i="3"/>
  <c r="F35" i="3"/>
  <c r="D35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C29" i="3"/>
  <c r="G28" i="3"/>
  <c r="G31" i="3" s="1"/>
  <c r="F28" i="3"/>
  <c r="E28" i="3"/>
  <c r="D28" i="3"/>
  <c r="D29" i="3" s="1"/>
  <c r="C28" i="3"/>
  <c r="B28" i="3"/>
  <c r="B29" i="3" s="1"/>
  <c r="G37" i="2"/>
  <c r="E37" i="2"/>
  <c r="C37" i="2"/>
  <c r="F35" i="2"/>
  <c r="D35" i="2"/>
  <c r="C31" i="2"/>
  <c r="B31" i="2"/>
  <c r="F30" i="2"/>
  <c r="E30" i="2"/>
  <c r="D30" i="2"/>
  <c r="C30" i="2"/>
  <c r="B30" i="2"/>
  <c r="F29" i="2"/>
  <c r="E29" i="2"/>
  <c r="D29" i="2"/>
  <c r="C29" i="2"/>
  <c r="B29" i="2"/>
  <c r="G28" i="2"/>
  <c r="G31" i="2" s="1"/>
  <c r="F28" i="2"/>
  <c r="F31" i="2" s="1"/>
  <c r="E28" i="2"/>
  <c r="E31" i="2" s="1"/>
  <c r="D28" i="2"/>
  <c r="D31" i="2" s="1"/>
  <c r="C28" i="2"/>
  <c r="B28" i="2"/>
  <c r="B30" i="7" l="1"/>
  <c r="G31" i="7"/>
  <c r="B29" i="7"/>
  <c r="E31" i="7"/>
  <c r="F31" i="7"/>
  <c r="F29" i="7"/>
  <c r="E29" i="7"/>
  <c r="G29" i="7"/>
  <c r="C30" i="7"/>
  <c r="D30" i="7"/>
  <c r="C31" i="7"/>
  <c r="D31" i="7"/>
  <c r="F29" i="6"/>
  <c r="D29" i="6"/>
  <c r="D30" i="6"/>
  <c r="E30" i="6"/>
  <c r="F30" i="6"/>
  <c r="G30" i="6"/>
  <c r="C29" i="6"/>
  <c r="E29" i="6"/>
  <c r="G29" i="6"/>
  <c r="C30" i="6"/>
  <c r="G29" i="5"/>
  <c r="E29" i="5"/>
  <c r="E30" i="5"/>
  <c r="G30" i="5"/>
  <c r="F31" i="5"/>
  <c r="F29" i="5"/>
  <c r="B31" i="5"/>
  <c r="B30" i="5"/>
  <c r="F30" i="4"/>
  <c r="F31" i="4"/>
  <c r="G31" i="4"/>
  <c r="E29" i="4"/>
  <c r="E30" i="4"/>
  <c r="D30" i="4"/>
  <c r="D29" i="4"/>
  <c r="G30" i="2"/>
  <c r="G29" i="2"/>
  <c r="G37" i="1"/>
  <c r="E37" i="1"/>
  <c r="C37" i="1"/>
  <c r="F35" i="1"/>
  <c r="D35" i="1"/>
  <c r="E31" i="1"/>
  <c r="C31" i="1"/>
  <c r="B31" i="1"/>
  <c r="G30" i="1"/>
  <c r="G28" i="1"/>
  <c r="G31" i="1" s="1"/>
  <c r="F28" i="1"/>
  <c r="F31" i="1" s="1"/>
  <c r="E28" i="1"/>
  <c r="E30" i="1" s="1"/>
  <c r="D28" i="1"/>
  <c r="D31" i="1" s="1"/>
  <c r="C28" i="1"/>
  <c r="C30" i="1" s="1"/>
  <c r="B28" i="1"/>
  <c r="B30" i="1" s="1"/>
  <c r="B29" i="1" l="1"/>
  <c r="C29" i="1"/>
  <c r="G29" i="1"/>
  <c r="D29" i="1"/>
  <c r="E29" i="1"/>
  <c r="D30" i="1"/>
  <c r="F29" i="1"/>
  <c r="F30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<sst xmlns="http://schemas.openxmlformats.org/spreadsheetml/2006/main" count="266" uniqueCount="37">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</sst>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9EDA-6AF2-4DA1-8012-B454036DD23C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748.89</v>
      </c>
      <c r="C2" s="1">
        <v>713.5</v>
      </c>
      <c r="D2" s="1">
        <v>732.67</v>
      </c>
      <c r="E2" s="1">
        <v>708.09</v>
      </c>
      <c r="F2" s="1">
        <v>600.63</v>
      </c>
      <c r="G2" s="1">
        <v>719.22</v>
      </c>
    </row>
    <row r="3" spans="1:7" x14ac:dyDescent="0.25">
      <c r="A3" s="1" t="s">
        <v>7</v>
      </c>
      <c r="B3" s="1">
        <v>60.04</v>
      </c>
      <c r="C3" s="1">
        <v>58.98</v>
      </c>
      <c r="D3" s="1">
        <v>59.73</v>
      </c>
      <c r="E3" s="1">
        <v>59.73</v>
      </c>
      <c r="F3" s="1">
        <v>63.24</v>
      </c>
      <c r="G3" s="1">
        <v>61.44</v>
      </c>
    </row>
    <row r="4" spans="1:7" x14ac:dyDescent="0.25">
      <c r="A4" s="1" t="s">
        <v>8</v>
      </c>
      <c r="B4" s="1">
        <v>45628.639999999999</v>
      </c>
      <c r="C4" s="1">
        <v>42696.32</v>
      </c>
      <c r="D4" s="1">
        <v>44446.46</v>
      </c>
      <c r="E4" s="1">
        <v>42896.61</v>
      </c>
      <c r="F4" s="1">
        <v>38570.69</v>
      </c>
      <c r="G4" s="1">
        <v>44841.18</v>
      </c>
    </row>
    <row r="5" spans="1:7" x14ac:dyDescent="0.25">
      <c r="A5" s="1" t="s">
        <v>9</v>
      </c>
      <c r="B5" s="1">
        <v>1433.3</v>
      </c>
      <c r="C5" s="1">
        <v>1361.81</v>
      </c>
      <c r="D5" s="1">
        <v>955.26</v>
      </c>
      <c r="E5" s="1">
        <v>718.99</v>
      </c>
      <c r="F5" s="1">
        <v>694.1</v>
      </c>
      <c r="G5" s="1">
        <v>935.24</v>
      </c>
    </row>
    <row r="6" spans="1:7" x14ac:dyDescent="0.25">
      <c r="A6" s="3" t="s">
        <v>10</v>
      </c>
      <c r="B6" s="3">
        <v>143.33000000000001</v>
      </c>
      <c r="C6" s="3">
        <v>137.56</v>
      </c>
      <c r="D6" s="3">
        <v>96.49</v>
      </c>
      <c r="E6" s="3">
        <v>72.63</v>
      </c>
      <c r="F6" s="3">
        <v>70.11</v>
      </c>
      <c r="G6" s="3">
        <v>95.43</v>
      </c>
    </row>
    <row r="7" spans="1:7" x14ac:dyDescent="0.25">
      <c r="A7" s="1" t="s">
        <v>11</v>
      </c>
      <c r="B7" s="1">
        <v>1421.23</v>
      </c>
      <c r="C7" s="1">
        <v>1342.69</v>
      </c>
      <c r="D7" s="1">
        <v>926.22</v>
      </c>
      <c r="E7" s="1">
        <v>676.78</v>
      </c>
      <c r="F7" s="1">
        <v>644.33000000000004</v>
      </c>
      <c r="G7" s="1">
        <v>923.01</v>
      </c>
    </row>
    <row r="8" spans="1:7" x14ac:dyDescent="0.25">
      <c r="A8" s="1" t="s">
        <v>12</v>
      </c>
      <c r="B8" s="1">
        <v>142.12</v>
      </c>
      <c r="C8" s="1">
        <v>135.63</v>
      </c>
      <c r="D8" s="1">
        <v>93.56</v>
      </c>
      <c r="E8" s="1">
        <v>68.36</v>
      </c>
      <c r="F8" s="1">
        <v>65.08</v>
      </c>
      <c r="G8" s="1">
        <v>94.18</v>
      </c>
    </row>
    <row r="9" spans="1:7" x14ac:dyDescent="0.25">
      <c r="A9" s="1" t="s">
        <v>13</v>
      </c>
      <c r="B9" s="1">
        <v>1421.14</v>
      </c>
      <c r="C9" s="1">
        <v>1342.69</v>
      </c>
      <c r="D9" s="1">
        <v>907.21</v>
      </c>
      <c r="E9" s="1">
        <v>-407.65</v>
      </c>
      <c r="F9" s="1">
        <v>-377.75</v>
      </c>
      <c r="G9" s="1">
        <v>920.89</v>
      </c>
    </row>
    <row r="10" spans="1:7" x14ac:dyDescent="0.25">
      <c r="A10" s="1" t="s">
        <v>14</v>
      </c>
      <c r="B10" s="1">
        <v>142.11000000000001</v>
      </c>
      <c r="C10" s="1">
        <v>135.63</v>
      </c>
      <c r="D10" s="1">
        <v>91.64</v>
      </c>
      <c r="E10" s="1">
        <v>-41.18</v>
      </c>
      <c r="F10" s="1">
        <v>-38.159999999999997</v>
      </c>
      <c r="G10" s="1">
        <v>93.97</v>
      </c>
    </row>
    <row r="11" spans="1:7" x14ac:dyDescent="0.25">
      <c r="A11" s="1" t="s">
        <v>15</v>
      </c>
      <c r="B11" s="1">
        <v>1180.6600000000001</v>
      </c>
      <c r="C11" s="1">
        <v>1171.3699999999999</v>
      </c>
      <c r="D11" s="1">
        <v>755.55</v>
      </c>
      <c r="E11" s="1">
        <v>301.39999999999998</v>
      </c>
      <c r="F11" s="1">
        <v>124.94</v>
      </c>
      <c r="G11" s="1">
        <v>811.53</v>
      </c>
    </row>
    <row r="12" spans="1:7" x14ac:dyDescent="0.25">
      <c r="A12" s="1" t="s">
        <v>16</v>
      </c>
      <c r="B12" s="1">
        <v>406.35</v>
      </c>
      <c r="C12" s="1">
        <v>376.14</v>
      </c>
      <c r="D12" s="1">
        <v>373.53</v>
      </c>
      <c r="E12" s="1">
        <v>314.97000000000003</v>
      </c>
      <c r="F12" s="1">
        <v>238.7</v>
      </c>
      <c r="G12" s="1">
        <v>363.05</v>
      </c>
    </row>
    <row r="13" spans="1:7" x14ac:dyDescent="0.25">
      <c r="A13" s="1" t="s">
        <v>17</v>
      </c>
      <c r="B13" s="1">
        <v>39.659999999999997</v>
      </c>
      <c r="C13" s="1">
        <v>29.43</v>
      </c>
      <c r="D13" s="1">
        <v>28.62</v>
      </c>
      <c r="E13" s="1">
        <v>45.31</v>
      </c>
      <c r="F13" s="1">
        <v>65.34</v>
      </c>
      <c r="G13" s="1">
        <v>39.49</v>
      </c>
    </row>
    <row r="14" spans="1:7" x14ac:dyDescent="0.25">
      <c r="A14" s="1" t="s">
        <v>18</v>
      </c>
      <c r="B14" s="1">
        <v>81.319999999999993</v>
      </c>
      <c r="C14" s="1">
        <v>65.510000000000005</v>
      </c>
      <c r="D14" s="1">
        <v>87.48</v>
      </c>
      <c r="E14" s="1">
        <v>107.59</v>
      </c>
      <c r="F14" s="1">
        <v>122.12</v>
      </c>
      <c r="G14" s="1">
        <v>110.61</v>
      </c>
    </row>
    <row r="15" spans="1:7" x14ac:dyDescent="0.25">
      <c r="A15" s="1" t="s">
        <v>19</v>
      </c>
      <c r="B15" s="1">
        <v>4</v>
      </c>
      <c r="C15" s="1">
        <v>2</v>
      </c>
      <c r="D15" s="1">
        <v>2</v>
      </c>
      <c r="E15" s="1">
        <v>1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1421.19</v>
      </c>
      <c r="C17" s="1">
        <v>1342.69</v>
      </c>
      <c r="D17" s="1">
        <v>916.72</v>
      </c>
      <c r="E17" s="1">
        <v>134.57</v>
      </c>
      <c r="F17" s="1">
        <v>133.29</v>
      </c>
      <c r="G17" s="1">
        <v>921.95</v>
      </c>
    </row>
    <row r="18" spans="1:7" x14ac:dyDescent="0.25">
      <c r="A18" s="1" t="s">
        <v>22</v>
      </c>
      <c r="B18" s="1">
        <v>0.05</v>
      </c>
      <c r="C18" s="1">
        <v>0</v>
      </c>
      <c r="D18" s="1">
        <v>9.5</v>
      </c>
      <c r="E18" s="1">
        <v>542.21</v>
      </c>
      <c r="F18" s="1">
        <v>511.04</v>
      </c>
      <c r="G18" s="1">
        <v>1.06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4</v>
      </c>
      <c r="F19" s="1">
        <v>3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7.4</v>
      </c>
      <c r="F20" s="1">
        <v>6.8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2.6</v>
      </c>
      <c r="F21" s="1">
        <v>3.2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3.8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6</v>
      </c>
      <c r="F24" s="1">
        <v>5.9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4</v>
      </c>
      <c r="F25" s="1">
        <v>2.7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1.4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10.000000000000002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60</v>
      </c>
      <c r="F29" s="3">
        <f t="shared" si="1"/>
        <v>59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40</v>
      </c>
      <c r="F30" s="3">
        <f t="shared" si="2"/>
        <v>26.999999999999996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13.999999999999996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140.72999999999999</v>
      </c>
      <c r="C33" s="3">
        <v>138.13</v>
      </c>
      <c r="D33" s="3">
        <v>93.79</v>
      </c>
      <c r="E33" s="3">
        <v>-39.270000000000003</v>
      </c>
      <c r="F33" s="3">
        <v>-32.42</v>
      </c>
      <c r="G33" s="3">
        <v>93.58</v>
      </c>
    </row>
    <row r="35" spans="1:7" x14ac:dyDescent="0.25">
      <c r="A35" s="3" t="s">
        <v>36</v>
      </c>
      <c r="B35" s="3"/>
      <c r="C35" s="3"/>
      <c r="D35" s="3">
        <f>D33-C33</f>
        <v>-44.339999999999989</v>
      </c>
      <c r="E35" s="3"/>
      <c r="F35" s="3">
        <f>F33-E33</f>
        <v>6.8500000000000014</v>
      </c>
      <c r="G35" s="3"/>
    </row>
    <row r="37" spans="1:7" x14ac:dyDescent="0.25">
      <c r="A37" s="3" t="s">
        <v>36</v>
      </c>
      <c r="B37" s="3"/>
      <c r="C37" s="3">
        <f>C33-B33</f>
        <v>-2.5999999999999943</v>
      </c>
      <c r="D37" s="3"/>
      <c r="E37" s="3">
        <f>E33-D33</f>
        <v>-133.06</v>
      </c>
      <c r="F37" s="3"/>
      <c r="G37" s="3">
        <f>G33-F33</f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A468-8C1E-4D1E-AE71-71383630CFAE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819.41</v>
      </c>
      <c r="C2" s="1">
        <v>850.79</v>
      </c>
      <c r="D2" s="1">
        <v>846.59</v>
      </c>
      <c r="E2" s="1">
        <v>815.71</v>
      </c>
      <c r="F2" s="1">
        <v>813.54</v>
      </c>
      <c r="G2" s="1">
        <v>815.52</v>
      </c>
    </row>
    <row r="3" spans="1:7" x14ac:dyDescent="0.25">
      <c r="A3" s="1" t="s">
        <v>7</v>
      </c>
      <c r="B3" s="1">
        <v>60.57</v>
      </c>
      <c r="C3" s="1">
        <v>64.61</v>
      </c>
      <c r="D3" s="1">
        <v>63.68</v>
      </c>
      <c r="E3" s="1">
        <v>64.48</v>
      </c>
      <c r="F3" s="1">
        <v>65.31</v>
      </c>
      <c r="G3" s="1">
        <v>57.72</v>
      </c>
    </row>
    <row r="4" spans="1:7" x14ac:dyDescent="0.25">
      <c r="A4" s="1" t="s">
        <v>8</v>
      </c>
      <c r="B4" s="1">
        <v>50469.98</v>
      </c>
      <c r="C4" s="1">
        <v>55872.93</v>
      </c>
      <c r="D4" s="1">
        <v>54832.56</v>
      </c>
      <c r="E4" s="1">
        <v>53411.45</v>
      </c>
      <c r="F4" s="1">
        <v>54038.81</v>
      </c>
      <c r="G4" s="1">
        <v>47849.88</v>
      </c>
    </row>
    <row r="5" spans="1:7" x14ac:dyDescent="0.25">
      <c r="A5" s="1" t="s">
        <v>9</v>
      </c>
      <c r="B5" s="1">
        <v>1023.48</v>
      </c>
      <c r="C5" s="1">
        <v>1005.89</v>
      </c>
      <c r="D5" s="1">
        <v>689.32</v>
      </c>
      <c r="E5" s="1">
        <v>503.34</v>
      </c>
      <c r="F5" s="1">
        <v>776.72</v>
      </c>
      <c r="G5" s="1">
        <v>960</v>
      </c>
    </row>
    <row r="6" spans="1:7" x14ac:dyDescent="0.25">
      <c r="A6" s="3" t="s">
        <v>10</v>
      </c>
      <c r="B6" s="3">
        <v>102.35</v>
      </c>
      <c r="C6" s="3">
        <v>101.61</v>
      </c>
      <c r="D6" s="3">
        <v>69.63</v>
      </c>
      <c r="E6" s="3">
        <v>50.84</v>
      </c>
      <c r="F6" s="3">
        <v>78.459999999999994</v>
      </c>
      <c r="G6" s="3">
        <v>97.96</v>
      </c>
    </row>
    <row r="7" spans="1:7" x14ac:dyDescent="0.25">
      <c r="A7" s="1" t="s">
        <v>11</v>
      </c>
      <c r="B7" s="1">
        <v>1002.59</v>
      </c>
      <c r="C7" s="1">
        <v>978.63</v>
      </c>
      <c r="D7" s="1">
        <v>662.43</v>
      </c>
      <c r="E7" s="1">
        <v>492.41</v>
      </c>
      <c r="F7" s="1">
        <v>752.29</v>
      </c>
      <c r="G7" s="1">
        <v>916.96</v>
      </c>
    </row>
    <row r="8" spans="1:7" x14ac:dyDescent="0.25">
      <c r="A8" s="1" t="s">
        <v>12</v>
      </c>
      <c r="B8" s="1">
        <v>100.26</v>
      </c>
      <c r="C8" s="1">
        <v>98.85</v>
      </c>
      <c r="D8" s="1">
        <v>66.91</v>
      </c>
      <c r="E8" s="1">
        <v>49.74</v>
      </c>
      <c r="F8" s="1">
        <v>75.989999999999995</v>
      </c>
      <c r="G8" s="1">
        <v>93.57</v>
      </c>
    </row>
    <row r="9" spans="1:7" x14ac:dyDescent="0.25">
      <c r="A9" s="1" t="s">
        <v>13</v>
      </c>
      <c r="B9" s="1">
        <v>999.36</v>
      </c>
      <c r="C9" s="1">
        <v>978.63</v>
      </c>
      <c r="D9" s="1">
        <v>662.43</v>
      </c>
      <c r="E9" s="1">
        <v>398.95</v>
      </c>
      <c r="F9" s="1">
        <v>-362.77</v>
      </c>
      <c r="G9" s="1">
        <v>849.31</v>
      </c>
    </row>
    <row r="10" spans="1:7" x14ac:dyDescent="0.25">
      <c r="A10" s="1" t="s">
        <v>14</v>
      </c>
      <c r="B10" s="1">
        <v>99.94</v>
      </c>
      <c r="C10" s="1">
        <v>98.85</v>
      </c>
      <c r="D10" s="1">
        <v>66.91</v>
      </c>
      <c r="E10" s="1">
        <v>40.299999999999997</v>
      </c>
      <c r="F10" s="1">
        <v>-36.64</v>
      </c>
      <c r="G10" s="1">
        <v>86.66</v>
      </c>
    </row>
    <row r="11" spans="1:7" x14ac:dyDescent="0.25">
      <c r="A11" s="1" t="s">
        <v>15</v>
      </c>
      <c r="B11" s="1">
        <v>877.61</v>
      </c>
      <c r="C11" s="1">
        <v>801.3</v>
      </c>
      <c r="D11" s="1">
        <v>545.74</v>
      </c>
      <c r="E11" s="1">
        <v>374.43</v>
      </c>
      <c r="F11" s="1">
        <v>190</v>
      </c>
      <c r="G11" s="1">
        <v>612.4</v>
      </c>
    </row>
    <row r="12" spans="1:7" x14ac:dyDescent="0.25">
      <c r="A12" s="1" t="s">
        <v>16</v>
      </c>
      <c r="B12" s="1">
        <v>400.39</v>
      </c>
      <c r="C12" s="1">
        <v>432.98</v>
      </c>
      <c r="D12" s="1">
        <v>437.48</v>
      </c>
      <c r="E12" s="1">
        <v>424.83</v>
      </c>
      <c r="F12" s="1">
        <v>371.93</v>
      </c>
      <c r="G12" s="1">
        <v>429.45</v>
      </c>
    </row>
    <row r="13" spans="1:7" x14ac:dyDescent="0.25">
      <c r="A13" s="1" t="s">
        <v>17</v>
      </c>
      <c r="B13" s="1">
        <v>55.66</v>
      </c>
      <c r="C13" s="1">
        <v>35.15</v>
      </c>
      <c r="D13" s="1">
        <v>29.31</v>
      </c>
      <c r="E13" s="1">
        <v>36.18</v>
      </c>
      <c r="F13" s="1">
        <v>59.61</v>
      </c>
      <c r="G13" s="1">
        <v>40.53</v>
      </c>
    </row>
    <row r="14" spans="1:7" x14ac:dyDescent="0.25">
      <c r="A14" s="1" t="s">
        <v>18</v>
      </c>
      <c r="B14" s="1">
        <v>139.82</v>
      </c>
      <c r="C14" s="1">
        <v>105.05</v>
      </c>
      <c r="D14" s="1">
        <v>61.29</v>
      </c>
      <c r="E14" s="1">
        <v>57.3</v>
      </c>
      <c r="F14" s="1">
        <v>132.08000000000001</v>
      </c>
      <c r="G14" s="1">
        <v>123.17</v>
      </c>
    </row>
    <row r="15" spans="1:7" x14ac:dyDescent="0.25">
      <c r="A15" s="1" t="s">
        <v>19</v>
      </c>
      <c r="B15" s="1">
        <v>2</v>
      </c>
      <c r="C15" s="1">
        <v>4</v>
      </c>
      <c r="D15" s="1">
        <v>1</v>
      </c>
      <c r="E15" s="1">
        <v>1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1000.98</v>
      </c>
      <c r="C17" s="1">
        <v>978.63</v>
      </c>
      <c r="D17" s="1">
        <v>662.43</v>
      </c>
      <c r="E17" s="1">
        <v>445.68</v>
      </c>
      <c r="F17" s="1">
        <v>194.76</v>
      </c>
      <c r="G17" s="1">
        <v>883.13</v>
      </c>
    </row>
    <row r="18" spans="1:7" x14ac:dyDescent="0.25">
      <c r="A18" s="1" t="s">
        <v>22</v>
      </c>
      <c r="B18" s="1">
        <v>1.62</v>
      </c>
      <c r="C18" s="1">
        <v>0</v>
      </c>
      <c r="D18" s="1">
        <v>0</v>
      </c>
      <c r="E18" s="1">
        <v>46.73</v>
      </c>
      <c r="F18" s="1">
        <v>557.53</v>
      </c>
      <c r="G18" s="1">
        <v>33.82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0.9</v>
      </c>
      <c r="F20" s="1">
        <v>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9.1</v>
      </c>
      <c r="F21" s="1">
        <v>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4.5999999999999996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5.3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4.7</v>
      </c>
      <c r="F26" s="1">
        <v>5.4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53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47</v>
      </c>
      <c r="F31" s="3">
        <f t="shared" si="3"/>
        <v>54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100.55</v>
      </c>
      <c r="C33" s="3">
        <v>102.06</v>
      </c>
      <c r="D33" s="3">
        <v>69.489999999999995</v>
      </c>
      <c r="E33" s="3">
        <v>42.2</v>
      </c>
      <c r="F33" s="3">
        <v>-0.23</v>
      </c>
      <c r="G33" s="3">
        <v>91.22</v>
      </c>
    </row>
    <row r="35" spans="1:7" x14ac:dyDescent="0.25">
      <c r="A35" s="3" t="s">
        <v>36</v>
      </c>
      <c r="B35" s="3"/>
      <c r="C35" s="3"/>
      <c r="D35" s="3">
        <f>D33-C33</f>
        <v>-32.570000000000007</v>
      </c>
      <c r="E35" s="3"/>
      <c r="F35" s="3">
        <f>F33-E33</f>
        <v>-42.43</v>
      </c>
      <c r="G35" s="3"/>
    </row>
    <row r="37" spans="1:7" x14ac:dyDescent="0.25">
      <c r="A37" s="3" t="s">
        <v>36</v>
      </c>
      <c r="B37" s="3"/>
      <c r="C37" s="3">
        <f>C33-B33</f>
        <v>1.5100000000000051</v>
      </c>
      <c r="D37" s="3"/>
      <c r="E37" s="3">
        <f>E33-D33</f>
        <v>-27.289999999999992</v>
      </c>
      <c r="F37" s="3"/>
      <c r="G37" s="3">
        <f>G33-F33</f>
        <v>91.45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1695-3418-45A7-A451-D029D66FFE55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803.34</v>
      </c>
      <c r="C2" s="1">
        <v>828.05</v>
      </c>
      <c r="D2" s="1">
        <v>791.31</v>
      </c>
      <c r="E2" s="1">
        <v>852.97</v>
      </c>
      <c r="F2" s="1">
        <v>803.02</v>
      </c>
      <c r="G2" s="1">
        <v>805</v>
      </c>
    </row>
    <row r="3" spans="1:7" x14ac:dyDescent="0.25">
      <c r="A3" s="1" t="s">
        <v>7</v>
      </c>
      <c r="B3" s="1">
        <v>60.68</v>
      </c>
      <c r="C3" s="1">
        <v>63.83</v>
      </c>
      <c r="D3" s="1">
        <v>64.63</v>
      </c>
      <c r="E3" s="1">
        <v>68.31</v>
      </c>
      <c r="F3" s="1">
        <v>69.11</v>
      </c>
      <c r="G3" s="1">
        <v>59.32</v>
      </c>
    </row>
    <row r="4" spans="1:7" x14ac:dyDescent="0.25">
      <c r="A4" s="1" t="s">
        <v>8</v>
      </c>
      <c r="B4" s="1">
        <v>49548.23</v>
      </c>
      <c r="C4" s="1">
        <v>53729.05</v>
      </c>
      <c r="D4" s="1">
        <v>51993.95</v>
      </c>
      <c r="E4" s="1">
        <v>59256.77</v>
      </c>
      <c r="F4" s="1">
        <v>56475.07</v>
      </c>
      <c r="G4" s="1">
        <v>48559.54</v>
      </c>
    </row>
    <row r="5" spans="1:7" x14ac:dyDescent="0.25">
      <c r="A5" s="1" t="s">
        <v>9</v>
      </c>
      <c r="B5" s="1">
        <v>1428.47</v>
      </c>
      <c r="C5" s="1">
        <v>1578.29</v>
      </c>
      <c r="D5" s="1">
        <v>1065.47</v>
      </c>
      <c r="E5" s="1">
        <v>956.3</v>
      </c>
      <c r="F5" s="1">
        <v>864.83</v>
      </c>
      <c r="G5" s="1">
        <v>1098.03</v>
      </c>
    </row>
    <row r="6" spans="1:7" x14ac:dyDescent="0.25">
      <c r="A6" s="3" t="s">
        <v>10</v>
      </c>
      <c r="B6" s="3">
        <v>142.85</v>
      </c>
      <c r="C6" s="3">
        <v>159.41999999999999</v>
      </c>
      <c r="D6" s="3">
        <v>107.62</v>
      </c>
      <c r="E6" s="3">
        <v>96.6</v>
      </c>
      <c r="F6" s="3">
        <v>87.36</v>
      </c>
      <c r="G6" s="3">
        <v>112.04</v>
      </c>
    </row>
    <row r="7" spans="1:7" x14ac:dyDescent="0.25">
      <c r="A7" s="1" t="s">
        <v>11</v>
      </c>
      <c r="B7" s="1">
        <v>1384.42</v>
      </c>
      <c r="C7" s="1">
        <v>1546.87</v>
      </c>
      <c r="D7" s="1">
        <v>1045.72</v>
      </c>
      <c r="E7" s="1">
        <v>933.57</v>
      </c>
      <c r="F7" s="1">
        <v>833.17</v>
      </c>
      <c r="G7" s="1">
        <v>1062.6300000000001</v>
      </c>
    </row>
    <row r="8" spans="1:7" x14ac:dyDescent="0.25">
      <c r="A8" s="1" t="s">
        <v>12</v>
      </c>
      <c r="B8" s="1">
        <v>138.44</v>
      </c>
      <c r="C8" s="1">
        <v>156.25</v>
      </c>
      <c r="D8" s="1">
        <v>105.63</v>
      </c>
      <c r="E8" s="1">
        <v>94.3</v>
      </c>
      <c r="F8" s="1">
        <v>84.16</v>
      </c>
      <c r="G8" s="1">
        <v>108.43</v>
      </c>
    </row>
    <row r="9" spans="1:7" x14ac:dyDescent="0.25">
      <c r="A9" s="1" t="s">
        <v>13</v>
      </c>
      <c r="B9" s="1">
        <v>1373.38</v>
      </c>
      <c r="C9" s="1">
        <v>1546.87</v>
      </c>
      <c r="D9" s="1">
        <v>1017.38</v>
      </c>
      <c r="E9" s="1">
        <v>923.11</v>
      </c>
      <c r="F9" s="1">
        <v>425.32</v>
      </c>
      <c r="G9" s="1">
        <v>1062.6300000000001</v>
      </c>
    </row>
    <row r="10" spans="1:7" x14ac:dyDescent="0.25">
      <c r="A10" s="1" t="s">
        <v>14</v>
      </c>
      <c r="B10" s="1">
        <v>137.34</v>
      </c>
      <c r="C10" s="1">
        <v>156.25</v>
      </c>
      <c r="D10" s="1">
        <v>102.77</v>
      </c>
      <c r="E10" s="1">
        <v>93.24</v>
      </c>
      <c r="F10" s="1">
        <v>42.96</v>
      </c>
      <c r="G10" s="1">
        <v>108.43</v>
      </c>
    </row>
    <row r="11" spans="1:7" x14ac:dyDescent="0.25">
      <c r="A11" s="1" t="s">
        <v>15</v>
      </c>
      <c r="B11" s="1">
        <v>1186.3900000000001</v>
      </c>
      <c r="C11" s="1">
        <v>1299.8399999999999</v>
      </c>
      <c r="D11" s="1">
        <v>893.52</v>
      </c>
      <c r="E11" s="1">
        <v>821.81</v>
      </c>
      <c r="F11" s="1">
        <v>218.43</v>
      </c>
      <c r="G11" s="1">
        <v>897.35</v>
      </c>
    </row>
    <row r="12" spans="1:7" x14ac:dyDescent="0.25">
      <c r="A12" s="1" t="s">
        <v>16</v>
      </c>
      <c r="B12" s="1">
        <v>412.18</v>
      </c>
      <c r="C12" s="1">
        <v>436.19</v>
      </c>
      <c r="D12" s="1">
        <v>399.11</v>
      </c>
      <c r="E12" s="1">
        <v>445.06</v>
      </c>
      <c r="F12" s="1">
        <v>327.92</v>
      </c>
      <c r="G12" s="1">
        <v>438.75</v>
      </c>
    </row>
    <row r="13" spans="1:7" x14ac:dyDescent="0.25">
      <c r="A13" s="1" t="s">
        <v>17</v>
      </c>
      <c r="B13" s="1">
        <v>39.65</v>
      </c>
      <c r="C13" s="1">
        <v>46.2</v>
      </c>
      <c r="D13" s="1">
        <v>37.39</v>
      </c>
      <c r="E13" s="1">
        <v>39.54</v>
      </c>
      <c r="F13" s="1">
        <v>85.12</v>
      </c>
      <c r="G13" s="1">
        <v>32.409999999999997</v>
      </c>
    </row>
    <row r="14" spans="1:7" x14ac:dyDescent="0.25">
      <c r="A14" s="1" t="s">
        <v>18</v>
      </c>
      <c r="B14" s="1">
        <v>102.81</v>
      </c>
      <c r="C14" s="1">
        <v>117.33</v>
      </c>
      <c r="D14" s="1">
        <v>76.7</v>
      </c>
      <c r="E14" s="1">
        <v>82.85</v>
      </c>
      <c r="F14" s="1">
        <v>151.55000000000001</v>
      </c>
      <c r="G14" s="1">
        <v>69.459999999999994</v>
      </c>
    </row>
    <row r="15" spans="1:7" x14ac:dyDescent="0.25">
      <c r="A15" s="1" t="s">
        <v>19</v>
      </c>
      <c r="B15" s="1">
        <v>2</v>
      </c>
      <c r="C15" s="1">
        <v>2</v>
      </c>
      <c r="D15" s="1">
        <v>3</v>
      </c>
      <c r="E15" s="1">
        <v>3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1378.9</v>
      </c>
      <c r="C17" s="1">
        <v>1546.87</v>
      </c>
      <c r="D17" s="1">
        <v>1031.55</v>
      </c>
      <c r="E17" s="1">
        <v>928.34</v>
      </c>
      <c r="F17" s="1">
        <v>629.25</v>
      </c>
      <c r="G17" s="1">
        <v>1062.6300000000001</v>
      </c>
    </row>
    <row r="18" spans="1:7" x14ac:dyDescent="0.25">
      <c r="A18" s="1" t="s">
        <v>22</v>
      </c>
      <c r="B18" s="1">
        <v>5.52</v>
      </c>
      <c r="C18" s="1">
        <v>0</v>
      </c>
      <c r="D18" s="1">
        <v>14.17</v>
      </c>
      <c r="E18" s="1">
        <v>5.23</v>
      </c>
      <c r="F18" s="1">
        <v>203.93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3.3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4.0999999999999996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140.29</v>
      </c>
      <c r="C33" s="3">
        <v>158.49</v>
      </c>
      <c r="D33" s="3">
        <v>104.91</v>
      </c>
      <c r="E33" s="3">
        <v>96.38</v>
      </c>
      <c r="F33" s="3">
        <v>7.7</v>
      </c>
      <c r="G33" s="3">
        <v>111.76</v>
      </c>
    </row>
    <row r="35" spans="1:7" x14ac:dyDescent="0.25">
      <c r="A35" s="3" t="s">
        <v>36</v>
      </c>
      <c r="B35" s="3"/>
      <c r="C35" s="3"/>
      <c r="D35" s="3">
        <f>D33-C33</f>
        <v>-53.580000000000013</v>
      </c>
      <c r="E35" s="3"/>
      <c r="F35" s="3">
        <f>F33-E33</f>
        <v>-88.679999999999993</v>
      </c>
      <c r="G35" s="3"/>
    </row>
    <row r="37" spans="1:7" x14ac:dyDescent="0.25">
      <c r="A37" s="3" t="s">
        <v>36</v>
      </c>
      <c r="B37" s="3"/>
      <c r="C37" s="3">
        <f>C33-B33</f>
        <v>18.200000000000017</v>
      </c>
      <c r="D37" s="3"/>
      <c r="E37" s="3">
        <f>E33-D33</f>
        <v>-8.5300000000000011</v>
      </c>
      <c r="F37" s="3"/>
      <c r="G37" s="3">
        <f>G33-F33</f>
        <v>104.06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9287-6563-45AF-9D89-50A1D3654E5B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819.41</v>
      </c>
      <c r="C2" s="1">
        <v>846.82</v>
      </c>
      <c r="D2" s="1">
        <v>832.31</v>
      </c>
      <c r="E2" s="1">
        <v>777.42</v>
      </c>
      <c r="F2" s="1">
        <v>715.37</v>
      </c>
      <c r="G2" s="1">
        <v>831.38</v>
      </c>
    </row>
    <row r="3" spans="1:7" x14ac:dyDescent="0.25">
      <c r="A3" s="1" t="s">
        <v>7</v>
      </c>
      <c r="B3" s="1">
        <v>60.69</v>
      </c>
      <c r="C3" s="1">
        <v>60.09</v>
      </c>
      <c r="D3" s="1">
        <v>58.7</v>
      </c>
      <c r="E3" s="1">
        <v>62.13</v>
      </c>
      <c r="F3" s="1">
        <v>64.56</v>
      </c>
      <c r="G3" s="1">
        <v>56.81</v>
      </c>
    </row>
    <row r="4" spans="1:7" x14ac:dyDescent="0.25">
      <c r="A4" s="1" t="s">
        <v>8</v>
      </c>
      <c r="B4" s="1">
        <v>50490.34</v>
      </c>
      <c r="C4" s="1">
        <v>51702.77</v>
      </c>
      <c r="D4" s="1">
        <v>49655.89</v>
      </c>
      <c r="E4" s="1">
        <v>49127.26</v>
      </c>
      <c r="F4" s="1">
        <v>46964.53</v>
      </c>
      <c r="G4" s="1">
        <v>48011.93</v>
      </c>
    </row>
    <row r="5" spans="1:7" x14ac:dyDescent="0.25">
      <c r="A5" s="1" t="s">
        <v>9</v>
      </c>
      <c r="B5" s="1">
        <v>1560.06</v>
      </c>
      <c r="C5" s="1">
        <v>1372.93</v>
      </c>
      <c r="D5" s="1">
        <v>1279.31</v>
      </c>
      <c r="E5" s="1">
        <v>592.71</v>
      </c>
      <c r="F5" s="1">
        <v>765.5</v>
      </c>
      <c r="G5" s="1">
        <v>1094.48</v>
      </c>
    </row>
    <row r="6" spans="1:7" x14ac:dyDescent="0.25">
      <c r="A6" s="3" t="s">
        <v>10</v>
      </c>
      <c r="B6" s="3">
        <v>156.01</v>
      </c>
      <c r="C6" s="3">
        <v>138.68</v>
      </c>
      <c r="D6" s="3">
        <v>129.22</v>
      </c>
      <c r="E6" s="3">
        <v>59.87</v>
      </c>
      <c r="F6" s="3">
        <v>77.319999999999993</v>
      </c>
      <c r="G6" s="3">
        <v>111.68</v>
      </c>
    </row>
    <row r="7" spans="1:7" x14ac:dyDescent="0.25">
      <c r="A7" s="1" t="s">
        <v>11</v>
      </c>
      <c r="B7" s="1">
        <v>1483.07</v>
      </c>
      <c r="C7" s="1">
        <v>1330.55</v>
      </c>
      <c r="D7" s="1">
        <v>1190.06</v>
      </c>
      <c r="E7" s="1">
        <v>566.25</v>
      </c>
      <c r="F7" s="1">
        <v>734.46</v>
      </c>
      <c r="G7" s="1">
        <v>1035.0899999999999</v>
      </c>
    </row>
    <row r="8" spans="1:7" x14ac:dyDescent="0.25">
      <c r="A8" s="1" t="s">
        <v>12</v>
      </c>
      <c r="B8" s="1">
        <v>148.31</v>
      </c>
      <c r="C8" s="1">
        <v>134.4</v>
      </c>
      <c r="D8" s="1">
        <v>120.21</v>
      </c>
      <c r="E8" s="1">
        <v>57.2</v>
      </c>
      <c r="F8" s="1">
        <v>74.19</v>
      </c>
      <c r="G8" s="1">
        <v>105.62</v>
      </c>
    </row>
    <row r="9" spans="1:7" x14ac:dyDescent="0.25">
      <c r="A9" s="1" t="s">
        <v>13</v>
      </c>
      <c r="B9" s="1">
        <v>1483.07</v>
      </c>
      <c r="C9" s="1">
        <v>1313.36</v>
      </c>
      <c r="D9" s="1">
        <v>1170.5999999999999</v>
      </c>
      <c r="E9" s="1">
        <v>418.76</v>
      </c>
      <c r="F9" s="1">
        <v>-506.4</v>
      </c>
      <c r="G9" s="1">
        <v>1012.41</v>
      </c>
    </row>
    <row r="10" spans="1:7" x14ac:dyDescent="0.25">
      <c r="A10" s="1" t="s">
        <v>14</v>
      </c>
      <c r="B10" s="1">
        <v>148.31</v>
      </c>
      <c r="C10" s="1">
        <v>132.66</v>
      </c>
      <c r="D10" s="1">
        <v>118.24</v>
      </c>
      <c r="E10" s="1">
        <v>42.3</v>
      </c>
      <c r="F10" s="1">
        <v>-51.15</v>
      </c>
      <c r="G10" s="1">
        <v>103.31</v>
      </c>
    </row>
    <row r="11" spans="1:7" x14ac:dyDescent="0.25">
      <c r="A11" s="1" t="s">
        <v>15</v>
      </c>
      <c r="B11" s="1">
        <v>932.97</v>
      </c>
      <c r="C11" s="1">
        <v>962.41</v>
      </c>
      <c r="D11" s="1">
        <v>781.84</v>
      </c>
      <c r="E11" s="1">
        <v>376.15</v>
      </c>
      <c r="F11" s="1">
        <v>165.94</v>
      </c>
      <c r="G11" s="1">
        <v>791.75</v>
      </c>
    </row>
    <row r="12" spans="1:7" x14ac:dyDescent="0.25">
      <c r="A12" s="1" t="s">
        <v>16</v>
      </c>
      <c r="B12" s="1">
        <v>462.87</v>
      </c>
      <c r="C12" s="1">
        <v>482.31</v>
      </c>
      <c r="D12" s="1">
        <v>454.84</v>
      </c>
      <c r="E12" s="1">
        <v>435.71</v>
      </c>
      <c r="F12" s="1">
        <v>316.87</v>
      </c>
      <c r="G12" s="1">
        <v>416.54</v>
      </c>
    </row>
    <row r="13" spans="1:7" x14ac:dyDescent="0.25">
      <c r="A13" s="1" t="s">
        <v>17</v>
      </c>
      <c r="B13" s="1">
        <v>54.45</v>
      </c>
      <c r="C13" s="1">
        <v>53.04</v>
      </c>
      <c r="D13" s="1">
        <v>45.31</v>
      </c>
      <c r="E13" s="1">
        <v>21.32</v>
      </c>
      <c r="F13" s="1">
        <v>57.76</v>
      </c>
      <c r="G13" s="1">
        <v>40.56</v>
      </c>
    </row>
    <row r="14" spans="1:7" x14ac:dyDescent="0.25">
      <c r="A14" s="1" t="s">
        <v>18</v>
      </c>
      <c r="B14" s="1">
        <v>148.36000000000001</v>
      </c>
      <c r="C14" s="1">
        <v>127.65</v>
      </c>
      <c r="D14" s="1">
        <v>143.88</v>
      </c>
      <c r="E14" s="1">
        <v>51.78</v>
      </c>
      <c r="F14" s="1">
        <v>140.62</v>
      </c>
      <c r="G14" s="1">
        <v>90.09</v>
      </c>
    </row>
    <row r="15" spans="1:7" x14ac:dyDescent="0.25">
      <c r="A15" s="1" t="s">
        <v>19</v>
      </c>
      <c r="B15" s="1">
        <v>3</v>
      </c>
      <c r="C15" s="1">
        <v>3</v>
      </c>
      <c r="D15" s="1">
        <v>2</v>
      </c>
      <c r="E15" s="1">
        <v>3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1483.07</v>
      </c>
      <c r="C17" s="1">
        <v>1321.95</v>
      </c>
      <c r="D17" s="1">
        <v>1180.33</v>
      </c>
      <c r="E17" s="1">
        <v>492.51</v>
      </c>
      <c r="F17" s="1">
        <v>114.03</v>
      </c>
      <c r="G17" s="1">
        <v>1023.75</v>
      </c>
    </row>
    <row r="18" spans="1:7" x14ac:dyDescent="0.25">
      <c r="A18" s="1" t="s">
        <v>22</v>
      </c>
      <c r="B18" s="1">
        <v>0</v>
      </c>
      <c r="C18" s="1">
        <v>8.6</v>
      </c>
      <c r="D18" s="1">
        <v>9.73</v>
      </c>
      <c r="E18" s="1">
        <v>73.75</v>
      </c>
      <c r="F18" s="1">
        <v>620.42999999999995</v>
      </c>
      <c r="G18" s="1">
        <v>11.34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0.7</v>
      </c>
      <c r="F20" s="1">
        <v>5.6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9.3000000000000007</v>
      </c>
      <c r="F21" s="1">
        <v>4.4000000000000004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6.3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3.3</v>
      </c>
      <c r="F25" s="1">
        <v>1.6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6.7</v>
      </c>
      <c r="F26" s="1">
        <v>2.1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32.999999999999993</v>
      </c>
      <c r="F30" s="3">
        <f t="shared" si="2"/>
        <v>16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67</v>
      </c>
      <c r="F31" s="3">
        <f t="shared" si="3"/>
        <v>21.000000000000004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151.85</v>
      </c>
      <c r="C33" s="3">
        <v>137.07</v>
      </c>
      <c r="D33" s="3">
        <v>126.32</v>
      </c>
      <c r="E33" s="3">
        <v>43.14</v>
      </c>
      <c r="F33" s="3">
        <v>-34.82</v>
      </c>
      <c r="G33" s="3">
        <v>110.91</v>
      </c>
    </row>
    <row r="35" spans="1:7" x14ac:dyDescent="0.25">
      <c r="A35" s="3" t="s">
        <v>36</v>
      </c>
      <c r="B35" s="3"/>
      <c r="C35" s="3"/>
      <c r="D35" s="3">
        <f>D33-C33</f>
        <v>-10.75</v>
      </c>
      <c r="E35" s="3"/>
      <c r="F35" s="3">
        <f>F33-E33</f>
        <v>-77.960000000000008</v>
      </c>
      <c r="G35" s="3"/>
    </row>
    <row r="37" spans="1:7" x14ac:dyDescent="0.25">
      <c r="A37" s="3" t="s">
        <v>36</v>
      </c>
      <c r="B37" s="3"/>
      <c r="C37" s="3">
        <f>C33-B33</f>
        <v>-14.780000000000001</v>
      </c>
      <c r="D37" s="3"/>
      <c r="E37" s="3">
        <f>E33-D33</f>
        <v>-83.179999999999993</v>
      </c>
      <c r="F37" s="3"/>
      <c r="G37" s="3">
        <f>G33-F33</f>
        <v>145.72999999999999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729E-8044-44EC-8983-AC983E261E48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749.99</v>
      </c>
      <c r="C2" s="1">
        <v>798.26</v>
      </c>
      <c r="D2" s="1">
        <v>794.02</v>
      </c>
      <c r="E2" s="1">
        <v>759.14</v>
      </c>
      <c r="F2" s="1">
        <v>697.21</v>
      </c>
      <c r="G2" s="1">
        <v>778.72</v>
      </c>
    </row>
    <row r="3" spans="1:7" x14ac:dyDescent="0.25">
      <c r="A3" s="1" t="s">
        <v>7</v>
      </c>
      <c r="B3" s="1">
        <v>57.38</v>
      </c>
      <c r="C3" s="1">
        <v>61.9</v>
      </c>
      <c r="D3" s="1">
        <v>60.45</v>
      </c>
      <c r="E3" s="1">
        <v>59.1</v>
      </c>
      <c r="F3" s="1">
        <v>66.19</v>
      </c>
      <c r="G3" s="1">
        <v>60.48</v>
      </c>
    </row>
    <row r="4" spans="1:7" x14ac:dyDescent="0.25">
      <c r="A4" s="1" t="s">
        <v>8</v>
      </c>
      <c r="B4" s="1">
        <v>43737.57</v>
      </c>
      <c r="C4" s="1">
        <v>50249.99</v>
      </c>
      <c r="D4" s="1">
        <v>48785.46</v>
      </c>
      <c r="E4" s="1">
        <v>45595.96</v>
      </c>
      <c r="F4" s="1">
        <v>46830.52</v>
      </c>
      <c r="G4" s="1">
        <v>47889.94</v>
      </c>
    </row>
    <row r="5" spans="1:7" x14ac:dyDescent="0.25">
      <c r="A5" s="1" t="s">
        <v>9</v>
      </c>
      <c r="B5" s="1">
        <v>1154.22</v>
      </c>
      <c r="C5" s="1">
        <v>1048.73</v>
      </c>
      <c r="D5" s="1">
        <v>819.5</v>
      </c>
      <c r="E5" s="1">
        <v>963.18</v>
      </c>
      <c r="F5" s="1">
        <v>859.44</v>
      </c>
      <c r="G5" s="1">
        <v>1335.99</v>
      </c>
    </row>
    <row r="6" spans="1:7" x14ac:dyDescent="0.25">
      <c r="A6" s="3" t="s">
        <v>10</v>
      </c>
      <c r="B6" s="3">
        <v>115.42</v>
      </c>
      <c r="C6" s="3">
        <v>105.93</v>
      </c>
      <c r="D6" s="3">
        <v>82.78</v>
      </c>
      <c r="E6" s="3">
        <v>97.29</v>
      </c>
      <c r="F6" s="3">
        <v>86.81</v>
      </c>
      <c r="G6" s="3">
        <v>136.33000000000001</v>
      </c>
    </row>
    <row r="7" spans="1:7" x14ac:dyDescent="0.25">
      <c r="A7" s="1" t="s">
        <v>11</v>
      </c>
      <c r="B7" s="1">
        <v>1085.4000000000001</v>
      </c>
      <c r="C7" s="1">
        <v>948.36</v>
      </c>
      <c r="D7" s="1">
        <v>683.32</v>
      </c>
      <c r="E7" s="1">
        <v>892.79</v>
      </c>
      <c r="F7" s="1">
        <v>736.32</v>
      </c>
      <c r="G7" s="1">
        <v>1274.6600000000001</v>
      </c>
    </row>
    <row r="8" spans="1:7" x14ac:dyDescent="0.25">
      <c r="A8" s="1" t="s">
        <v>12</v>
      </c>
      <c r="B8" s="1">
        <v>108.54</v>
      </c>
      <c r="C8" s="1">
        <v>95.79</v>
      </c>
      <c r="D8" s="1">
        <v>69.02</v>
      </c>
      <c r="E8" s="1">
        <v>90.18</v>
      </c>
      <c r="F8" s="1">
        <v>74.38</v>
      </c>
      <c r="G8" s="1">
        <v>130.07</v>
      </c>
    </row>
    <row r="9" spans="1:7" x14ac:dyDescent="0.25">
      <c r="A9" s="1" t="s">
        <v>13</v>
      </c>
      <c r="B9" s="1">
        <v>1085.4000000000001</v>
      </c>
      <c r="C9" s="1">
        <v>932.31</v>
      </c>
      <c r="D9" s="1">
        <v>637.85</v>
      </c>
      <c r="E9" s="1">
        <v>819.35</v>
      </c>
      <c r="F9" s="1">
        <v>-304.24</v>
      </c>
      <c r="G9" s="1">
        <v>1274.6600000000001</v>
      </c>
    </row>
    <row r="10" spans="1:7" x14ac:dyDescent="0.25">
      <c r="A10" s="1" t="s">
        <v>14</v>
      </c>
      <c r="B10" s="1">
        <v>108.54</v>
      </c>
      <c r="C10" s="1">
        <v>94.17</v>
      </c>
      <c r="D10" s="1">
        <v>64.430000000000007</v>
      </c>
      <c r="E10" s="1">
        <v>82.76</v>
      </c>
      <c r="F10" s="1">
        <v>-30.73</v>
      </c>
      <c r="G10" s="1">
        <v>130.07</v>
      </c>
    </row>
    <row r="11" spans="1:7" x14ac:dyDescent="0.25">
      <c r="A11" s="1" t="s">
        <v>15</v>
      </c>
      <c r="B11" s="1">
        <v>794.31</v>
      </c>
      <c r="C11" s="1">
        <v>728.34</v>
      </c>
      <c r="D11" s="1">
        <v>484.14</v>
      </c>
      <c r="E11" s="1">
        <v>638.79</v>
      </c>
      <c r="F11" s="1">
        <v>191.87</v>
      </c>
      <c r="G11" s="1">
        <v>1036.04</v>
      </c>
    </row>
    <row r="12" spans="1:7" x14ac:dyDescent="0.25">
      <c r="A12" s="1" t="s">
        <v>16</v>
      </c>
      <c r="B12" s="1">
        <v>435.2</v>
      </c>
      <c r="C12" s="1">
        <v>405.73</v>
      </c>
      <c r="D12" s="1">
        <v>416.78</v>
      </c>
      <c r="E12" s="1">
        <v>416.99</v>
      </c>
      <c r="F12" s="1">
        <v>312.94</v>
      </c>
      <c r="G12" s="1">
        <v>415.67</v>
      </c>
    </row>
    <row r="13" spans="1:7" x14ac:dyDescent="0.25">
      <c r="A13" s="1" t="s">
        <v>17</v>
      </c>
      <c r="B13" s="1">
        <v>44.52</v>
      </c>
      <c r="C13" s="1">
        <v>34.6</v>
      </c>
      <c r="D13" s="1">
        <v>29.42</v>
      </c>
      <c r="E13" s="1">
        <v>34.81</v>
      </c>
      <c r="F13" s="1">
        <v>65.849999999999994</v>
      </c>
      <c r="G13" s="1">
        <v>42.52</v>
      </c>
    </row>
    <row r="14" spans="1:7" x14ac:dyDescent="0.25">
      <c r="A14" s="1" t="s">
        <v>18</v>
      </c>
      <c r="B14" s="1">
        <v>91.65</v>
      </c>
      <c r="C14" s="1">
        <v>84.58</v>
      </c>
      <c r="D14" s="1">
        <v>71.48</v>
      </c>
      <c r="E14" s="1">
        <v>71.930000000000007</v>
      </c>
      <c r="F14" s="1">
        <v>122.48</v>
      </c>
      <c r="G14" s="1">
        <v>88.56</v>
      </c>
    </row>
    <row r="15" spans="1:7" x14ac:dyDescent="0.25">
      <c r="A15" s="1" t="s">
        <v>19</v>
      </c>
      <c r="B15" s="1">
        <v>2</v>
      </c>
      <c r="C15" s="1">
        <v>3</v>
      </c>
      <c r="D15" s="1">
        <v>1</v>
      </c>
      <c r="E15" s="1">
        <v>3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1085.4000000000001</v>
      </c>
      <c r="C17" s="1">
        <v>940.34</v>
      </c>
      <c r="D17" s="1">
        <v>660.59</v>
      </c>
      <c r="E17" s="1">
        <v>856.07</v>
      </c>
      <c r="F17" s="1">
        <v>216.04</v>
      </c>
      <c r="G17" s="1">
        <v>1274.6600000000001</v>
      </c>
    </row>
    <row r="18" spans="1:7" x14ac:dyDescent="0.25">
      <c r="A18" s="1" t="s">
        <v>22</v>
      </c>
      <c r="B18" s="1">
        <v>0</v>
      </c>
      <c r="C18" s="1">
        <v>8.0299999999999994</v>
      </c>
      <c r="D18" s="1">
        <v>22.74</v>
      </c>
      <c r="E18" s="1">
        <v>36.72</v>
      </c>
      <c r="F18" s="1">
        <v>520.28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4.4000000000000004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27.999999999999996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113.41</v>
      </c>
      <c r="C33" s="3">
        <v>102.29</v>
      </c>
      <c r="D33" s="3">
        <v>76.27</v>
      </c>
      <c r="E33" s="3">
        <v>89.09</v>
      </c>
      <c r="F33" s="3">
        <v>2.39</v>
      </c>
      <c r="G33" s="3">
        <v>136.11000000000001</v>
      </c>
    </row>
    <row r="35" spans="1:7" x14ac:dyDescent="0.25">
      <c r="A35" s="3" t="s">
        <v>36</v>
      </c>
      <c r="B35" s="3"/>
      <c r="C35" s="3"/>
      <c r="D35" s="3">
        <f>D33-C33</f>
        <v>-26.02000000000001</v>
      </c>
      <c r="E35" s="3"/>
      <c r="F35" s="3">
        <f>F33-E33</f>
        <v>-86.7</v>
      </c>
      <c r="G35" s="3"/>
    </row>
    <row r="37" spans="1:7" x14ac:dyDescent="0.25">
      <c r="A37" s="3" t="s">
        <v>36</v>
      </c>
      <c r="B37" s="3"/>
      <c r="C37" s="3">
        <f>C33-B33</f>
        <v>-11.11999999999999</v>
      </c>
      <c r="D37" s="3"/>
      <c r="E37" s="3">
        <f>E33-D33</f>
        <v>12.820000000000007</v>
      </c>
      <c r="F37" s="3"/>
      <c r="G37" s="3">
        <f>G33-F33</f>
        <v>133.72000000000003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D88B-7E5A-46FA-BB4D-B134BF079F5A}">
  <dimension ref="A1:G37"/>
  <sheetViews>
    <sheetView tabSelected="1" topLeftCell="A10" workbookViewId="0">
      <selection activeCell="J28" sqref="J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748.07</v>
      </c>
      <c r="C2" s="1">
        <v>756.14</v>
      </c>
      <c r="D2" s="1">
        <v>738.94</v>
      </c>
      <c r="E2" s="1">
        <v>657.46</v>
      </c>
      <c r="F2" s="1">
        <v>729.94</v>
      </c>
      <c r="G2" s="1">
        <v>757.83</v>
      </c>
    </row>
    <row r="3" spans="1:7" x14ac:dyDescent="0.25">
      <c r="A3" s="1" t="s">
        <v>7</v>
      </c>
      <c r="B3" s="1">
        <v>62.16</v>
      </c>
      <c r="C3" s="1">
        <v>63.46</v>
      </c>
      <c r="D3" s="1">
        <v>66.92</v>
      </c>
      <c r="E3" s="1">
        <v>70.78</v>
      </c>
      <c r="F3" s="1">
        <v>69.09</v>
      </c>
      <c r="G3" s="1">
        <v>65.87</v>
      </c>
    </row>
    <row r="4" spans="1:7" x14ac:dyDescent="0.25">
      <c r="A4" s="1" t="s">
        <v>8</v>
      </c>
      <c r="B4" s="1">
        <v>47191.3</v>
      </c>
      <c r="C4" s="1">
        <v>48744.41</v>
      </c>
      <c r="D4" s="1">
        <v>50243.19</v>
      </c>
      <c r="E4" s="1">
        <v>47273.34</v>
      </c>
      <c r="F4" s="1">
        <v>51160.47</v>
      </c>
      <c r="G4" s="1">
        <v>50736.09</v>
      </c>
    </row>
    <row r="5" spans="1:7" x14ac:dyDescent="0.25">
      <c r="A5" s="1" t="s">
        <v>9</v>
      </c>
      <c r="B5" s="1">
        <v>1414.5</v>
      </c>
      <c r="C5" s="1">
        <v>1556.1</v>
      </c>
      <c r="D5" s="1">
        <v>846.68</v>
      </c>
      <c r="E5" s="1">
        <v>425.13</v>
      </c>
      <c r="F5" s="1">
        <v>609.99</v>
      </c>
      <c r="G5" s="1">
        <v>1091.6099999999999</v>
      </c>
    </row>
    <row r="6" spans="1:7" x14ac:dyDescent="0.25">
      <c r="A6" s="3" t="s">
        <v>10</v>
      </c>
      <c r="B6" s="3">
        <v>141.44999999999999</v>
      </c>
      <c r="C6" s="3">
        <v>157.18</v>
      </c>
      <c r="D6" s="3">
        <v>85.52</v>
      </c>
      <c r="E6" s="3">
        <v>42.94</v>
      </c>
      <c r="F6" s="3">
        <v>61.62</v>
      </c>
      <c r="G6" s="3">
        <v>111.39</v>
      </c>
    </row>
    <row r="7" spans="1:7" x14ac:dyDescent="0.25">
      <c r="A7" s="1" t="s">
        <v>11</v>
      </c>
      <c r="B7" s="1">
        <v>1367.03</v>
      </c>
      <c r="C7" s="1">
        <v>1468.35</v>
      </c>
      <c r="D7" s="1">
        <v>812.13</v>
      </c>
      <c r="E7" s="1">
        <v>297.49</v>
      </c>
      <c r="F7" s="1">
        <v>566.94000000000005</v>
      </c>
      <c r="G7" s="1">
        <v>1045.51</v>
      </c>
    </row>
    <row r="8" spans="1:7" x14ac:dyDescent="0.25">
      <c r="A8" s="1" t="s">
        <v>12</v>
      </c>
      <c r="B8" s="1">
        <v>136.69999999999999</v>
      </c>
      <c r="C8" s="1">
        <v>148.32</v>
      </c>
      <c r="D8" s="1">
        <v>82.03</v>
      </c>
      <c r="E8" s="1">
        <v>30.05</v>
      </c>
      <c r="F8" s="1">
        <v>57.27</v>
      </c>
      <c r="G8" s="1">
        <v>106.69</v>
      </c>
    </row>
    <row r="9" spans="1:7" x14ac:dyDescent="0.25">
      <c r="A9" s="1" t="s">
        <v>13</v>
      </c>
      <c r="B9" s="1">
        <v>1364.77</v>
      </c>
      <c r="C9" s="1">
        <v>1468.35</v>
      </c>
      <c r="D9" s="1">
        <v>780.58</v>
      </c>
      <c r="E9" s="1">
        <v>167.1</v>
      </c>
      <c r="F9" s="1">
        <v>314.8</v>
      </c>
      <c r="G9" s="1">
        <v>1036.73</v>
      </c>
    </row>
    <row r="10" spans="1:7" x14ac:dyDescent="0.25">
      <c r="A10" s="1" t="s">
        <v>14</v>
      </c>
      <c r="B10" s="1">
        <v>136.47999999999999</v>
      </c>
      <c r="C10" s="1">
        <v>148.32</v>
      </c>
      <c r="D10" s="1">
        <v>78.849999999999994</v>
      </c>
      <c r="E10" s="1">
        <v>16.88</v>
      </c>
      <c r="F10" s="1">
        <v>31.8</v>
      </c>
      <c r="G10" s="1">
        <v>105.79</v>
      </c>
    </row>
    <row r="11" spans="1:7" x14ac:dyDescent="0.25">
      <c r="A11" s="1" t="s">
        <v>15</v>
      </c>
      <c r="B11" s="1">
        <v>994.21</v>
      </c>
      <c r="C11" s="1">
        <v>861.68</v>
      </c>
      <c r="D11" s="1">
        <v>590.16</v>
      </c>
      <c r="E11" s="1">
        <v>97.95</v>
      </c>
      <c r="F11" s="1">
        <v>131.80000000000001</v>
      </c>
      <c r="G11" s="1">
        <v>878.15</v>
      </c>
    </row>
    <row r="12" spans="1:7" x14ac:dyDescent="0.25">
      <c r="A12" s="1" t="s">
        <v>16</v>
      </c>
      <c r="B12" s="1">
        <v>367.08</v>
      </c>
      <c r="C12" s="1">
        <v>370.56</v>
      </c>
      <c r="D12" s="1">
        <v>393.24</v>
      </c>
      <c r="E12" s="1">
        <v>285.11</v>
      </c>
      <c r="F12" s="1">
        <v>304.18</v>
      </c>
      <c r="G12" s="1">
        <v>398.17</v>
      </c>
    </row>
    <row r="13" spans="1:7" x14ac:dyDescent="0.25">
      <c r="A13" s="1" t="s">
        <v>17</v>
      </c>
      <c r="B13" s="1">
        <v>54.78</v>
      </c>
      <c r="C13" s="1">
        <v>54.1</v>
      </c>
      <c r="D13" s="1">
        <v>38.83</v>
      </c>
      <c r="E13" s="1">
        <v>58.38</v>
      </c>
      <c r="F13" s="1">
        <v>49.63</v>
      </c>
      <c r="G13" s="1">
        <v>38.03</v>
      </c>
    </row>
    <row r="14" spans="1:7" x14ac:dyDescent="0.25">
      <c r="A14" s="1" t="s">
        <v>18</v>
      </c>
      <c r="B14" s="1">
        <v>130.51</v>
      </c>
      <c r="C14" s="1">
        <v>131.15</v>
      </c>
      <c r="D14" s="1">
        <v>84.47</v>
      </c>
      <c r="E14" s="1">
        <v>108.14</v>
      </c>
      <c r="F14" s="1">
        <v>106.58</v>
      </c>
      <c r="G14" s="1">
        <v>71.25</v>
      </c>
    </row>
    <row r="15" spans="1:7" x14ac:dyDescent="0.25">
      <c r="A15" s="1" t="s">
        <v>19</v>
      </c>
      <c r="B15" s="1">
        <v>4</v>
      </c>
      <c r="C15" s="1">
        <v>3</v>
      </c>
      <c r="D15" s="1">
        <v>2</v>
      </c>
      <c r="E15" s="1">
        <v>2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1365.9</v>
      </c>
      <c r="C17" s="1">
        <v>1468.35</v>
      </c>
      <c r="D17" s="1">
        <v>796.35</v>
      </c>
      <c r="E17" s="1">
        <v>232.3</v>
      </c>
      <c r="F17" s="1">
        <v>440.87</v>
      </c>
      <c r="G17" s="1">
        <v>1041.1199999999999</v>
      </c>
    </row>
    <row r="18" spans="1:7" x14ac:dyDescent="0.25">
      <c r="A18" s="1" t="s">
        <v>22</v>
      </c>
      <c r="B18" s="1">
        <v>1.1299999999999999</v>
      </c>
      <c r="C18" s="1">
        <v>0</v>
      </c>
      <c r="D18" s="1">
        <v>15.78</v>
      </c>
      <c r="E18" s="1">
        <v>65.2</v>
      </c>
      <c r="F18" s="1">
        <v>126.07</v>
      </c>
      <c r="G18" s="1">
        <v>4.3899999999999997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3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0.5</v>
      </c>
      <c r="E20" s="1">
        <v>3.1</v>
      </c>
      <c r="F20" s="1">
        <v>4.5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9.5</v>
      </c>
      <c r="E21" s="1">
        <v>6.9</v>
      </c>
      <c r="F21" s="1">
        <v>5.5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7.1</v>
      </c>
      <c r="F25" s="1">
        <v>2.2999999999999998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2.9</v>
      </c>
      <c r="F26" s="1">
        <v>4.9000000000000004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71</v>
      </c>
      <c r="F30" s="3">
        <f t="shared" si="2"/>
        <v>23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28.999999999999996</v>
      </c>
      <c r="F31" s="3">
        <f t="shared" si="3"/>
        <v>49.000000000000007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137.33000000000001</v>
      </c>
      <c r="C33" s="3">
        <v>158.15</v>
      </c>
      <c r="D33" s="3">
        <v>83.5</v>
      </c>
      <c r="E33" s="3">
        <v>21.21</v>
      </c>
      <c r="F33" s="3">
        <v>11.81</v>
      </c>
      <c r="G33" s="3">
        <v>112.75</v>
      </c>
    </row>
    <row r="35" spans="1:7" x14ac:dyDescent="0.25">
      <c r="A35" s="3" t="s">
        <v>36</v>
      </c>
      <c r="B35" s="3"/>
      <c r="C35" s="3"/>
      <c r="D35" s="3">
        <f>D33-C33</f>
        <v>-74.650000000000006</v>
      </c>
      <c r="E35" s="3"/>
      <c r="F35" s="3">
        <f>F33-E33</f>
        <v>-9.4</v>
      </c>
      <c r="G35" s="3"/>
    </row>
    <row r="37" spans="1:7" x14ac:dyDescent="0.25">
      <c r="A37" s="3" t="s">
        <v>36</v>
      </c>
      <c r="B37" s="3"/>
      <c r="C37" s="3">
        <f>C33-B33</f>
        <v>20.819999999999993</v>
      </c>
      <c r="D37" s="3"/>
      <c r="E37" s="3">
        <f>E33-D33</f>
        <v>-62.29</v>
      </c>
      <c r="F37" s="3"/>
      <c r="G37" s="3">
        <f>G33-F33</f>
        <v>100.94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E48B-151D-44D0-B2F3-2DE510A07FE7}">
  <dimension ref="A1:G37"/>
  <sheetViews>
    <sheetView workbookViewId="0">
      <selection sqref="A1:XFD104857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231005B001.1</vt:lpstr>
      <vt:lpstr>231005B001.2</vt:lpstr>
      <vt:lpstr>231005B001.3</vt:lpstr>
      <vt:lpstr>231005B002.1</vt:lpstr>
      <vt:lpstr>231005B002.2</vt:lpstr>
      <vt:lpstr>231005B002.3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2023-10-10T18:41:56Z</dcterms:created>
  <dcterms:modified xsi:type="dcterms:W3CDTF">2023-10-11T23:26:59Z</dcterms:modified>
</cp:coreProperties>
</file>