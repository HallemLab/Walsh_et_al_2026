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ute Shift Assays\S. stercoralis\FLMs\wild-type\2023-1017\WormLab Data\"/>
    </mc:Choice>
  </mc:AlternateContent>
  <xr:revisionPtr revIDLastSave="0" documentId="13_ncr:1_{B2A5887D-2087-4100-BE14-8EFC99D755F0}" xr6:coauthVersionLast="36" xr6:coauthVersionMax="36" xr10:uidLastSave="{00000000-0000-0000-0000-000000000000}"/>
  <bookViews>
    <workbookView xWindow="0" yWindow="0" windowWidth="18915" windowHeight="10395" firstSheet="2" activeTab="5" xr2:uid="{D581EB67-B512-4906-AA0D-FC5B292B8454}"/>
  </bookViews>
  <sheets>
    <sheet name="231017B001.1" sheetId="2" r:id="rId1"/>
    <sheet name="231017B001.2" sheetId="3" r:id="rId2"/>
    <sheet name="231017B001.3" sheetId="4" r:id="rId3"/>
    <sheet name="231017B002.1" sheetId="5" r:id="rId4"/>
    <sheet name="231017B002.2" sheetId="6" r:id="rId5"/>
    <sheet name="template" sheetId="1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6" l="1"/>
  <c r="E37" i="6"/>
  <c r="C37" i="6"/>
  <c r="F35" i="6"/>
  <c r="D35" i="6"/>
  <c r="E31" i="6"/>
  <c r="D31" i="6"/>
  <c r="C31" i="6"/>
  <c r="B31" i="6"/>
  <c r="E30" i="6"/>
  <c r="D30" i="6"/>
  <c r="C30" i="6"/>
  <c r="B30" i="6"/>
  <c r="G29" i="6"/>
  <c r="E29" i="6"/>
  <c r="G28" i="6"/>
  <c r="G31" i="6" s="1"/>
  <c r="F28" i="6"/>
  <c r="F31" i="6" s="1"/>
  <c r="E28" i="6"/>
  <c r="D28" i="6"/>
  <c r="D29" i="6" s="1"/>
  <c r="C28" i="6"/>
  <c r="C29" i="6" s="1"/>
  <c r="B28" i="6"/>
  <c r="B29" i="6" s="1"/>
  <c r="G37" i="5"/>
  <c r="E37" i="5"/>
  <c r="C37" i="5"/>
  <c r="F35" i="5"/>
  <c r="D35" i="5"/>
  <c r="B30" i="5"/>
  <c r="G28" i="5"/>
  <c r="G30" i="5" s="1"/>
  <c r="F28" i="5"/>
  <c r="F29" i="5" s="1"/>
  <c r="E28" i="5"/>
  <c r="E29" i="5" s="1"/>
  <c r="D28" i="5"/>
  <c r="D31" i="5" s="1"/>
  <c r="C28" i="5"/>
  <c r="C31" i="5" s="1"/>
  <c r="B28" i="5"/>
  <c r="B31" i="5" s="1"/>
  <c r="G37" i="4"/>
  <c r="E37" i="4"/>
  <c r="C37" i="4"/>
  <c r="F35" i="4"/>
  <c r="D35" i="4"/>
  <c r="E31" i="4"/>
  <c r="D31" i="4"/>
  <c r="C31" i="4"/>
  <c r="B31" i="4"/>
  <c r="E30" i="4"/>
  <c r="D30" i="4"/>
  <c r="C30" i="4"/>
  <c r="B30" i="4"/>
  <c r="E29" i="4"/>
  <c r="D29" i="4"/>
  <c r="C29" i="4"/>
  <c r="B29" i="4"/>
  <c r="G28" i="4"/>
  <c r="G30" i="4" s="1"/>
  <c r="F28" i="4"/>
  <c r="F29" i="4" s="1"/>
  <c r="E28" i="4"/>
  <c r="D28" i="4"/>
  <c r="C28" i="4"/>
  <c r="B28" i="4"/>
  <c r="G37" i="3"/>
  <c r="E37" i="3"/>
  <c r="C37" i="3"/>
  <c r="F35" i="3"/>
  <c r="D35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D29" i="3"/>
  <c r="C29" i="3"/>
  <c r="G28" i="3"/>
  <c r="G31" i="3" s="1"/>
  <c r="F28" i="3"/>
  <c r="F31" i="3" s="1"/>
  <c r="E28" i="3"/>
  <c r="D28" i="3"/>
  <c r="C28" i="3"/>
  <c r="B28" i="3"/>
  <c r="B29" i="3" s="1"/>
  <c r="G37" i="2"/>
  <c r="E37" i="2"/>
  <c r="C37" i="2"/>
  <c r="F35" i="2"/>
  <c r="D35" i="2"/>
  <c r="F31" i="2"/>
  <c r="E31" i="2"/>
  <c r="C31" i="2"/>
  <c r="G30" i="2"/>
  <c r="F30" i="2"/>
  <c r="E30" i="2"/>
  <c r="D30" i="2"/>
  <c r="C30" i="2"/>
  <c r="B30" i="2"/>
  <c r="G29" i="2"/>
  <c r="F29" i="2"/>
  <c r="E29" i="2"/>
  <c r="D29" i="2"/>
  <c r="C29" i="2"/>
  <c r="G28" i="2"/>
  <c r="G31" i="2" s="1"/>
  <c r="F28" i="2"/>
  <c r="E28" i="2"/>
  <c r="D28" i="2"/>
  <c r="D31" i="2" s="1"/>
  <c r="C28" i="2"/>
  <c r="B28" i="2"/>
  <c r="B29" i="2" s="1"/>
  <c r="G30" i="6" l="1"/>
  <c r="F29" i="6"/>
  <c r="F30" i="6"/>
  <c r="B29" i="5"/>
  <c r="E31" i="5"/>
  <c r="F31" i="5"/>
  <c r="G31" i="5"/>
  <c r="D30" i="5"/>
  <c r="E30" i="5"/>
  <c r="F30" i="5"/>
  <c r="C29" i="5"/>
  <c r="D29" i="5"/>
  <c r="G29" i="5"/>
  <c r="C30" i="5"/>
  <c r="F30" i="4"/>
  <c r="F31" i="4"/>
  <c r="G31" i="4"/>
  <c r="G29" i="4"/>
  <c r="B31" i="2"/>
  <c r="G37" i="1"/>
  <c r="E37" i="1"/>
  <c r="C37" i="1"/>
  <c r="F35" i="1"/>
  <c r="D35" i="1"/>
  <c r="G28" i="1"/>
  <c r="G30" i="1" s="1"/>
  <c r="F28" i="1"/>
  <c r="F30" i="1" s="1"/>
  <c r="E28" i="1"/>
  <c r="E31" i="1" s="1"/>
  <c r="D28" i="1"/>
  <c r="D31" i="1" s="1"/>
  <c r="C28" i="1"/>
  <c r="C30" i="1" s="1"/>
  <c r="B28" i="1"/>
  <c r="B29" i="1" s="1"/>
  <c r="E29" i="1" l="1"/>
  <c r="F29" i="1"/>
  <c r="C31" i="1"/>
  <c r="F31" i="1"/>
  <c r="B30" i="1"/>
  <c r="B31" i="1"/>
  <c r="C29" i="1"/>
  <c r="D29" i="1"/>
  <c r="G29" i="1"/>
  <c r="G31" i="1"/>
  <c r="D30" i="1"/>
  <c r="E30" i="1"/>
</calcChain>
</file>

<file path=xl/sharedStrings.xml><?xml version="1.0" encoding="utf-8"?>
<sst xmlns="http://schemas.openxmlformats.org/spreadsheetml/2006/main" count="228" uniqueCount="37">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</sst>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CDA72-7C0F-4286-B481-DBAB8B053AF2}">
  <dimension ref="A1:G37"/>
  <sheetViews>
    <sheetView topLeftCell="A10" workbookViewId="0">
      <selection activeCell="A41" sqref="A41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594.73</v>
      </c>
      <c r="C2" s="1">
        <v>596.11</v>
      </c>
      <c r="D2" s="1">
        <v>584.80999999999995</v>
      </c>
      <c r="E2" s="1">
        <v>458.78</v>
      </c>
      <c r="F2" s="1">
        <v>480.46</v>
      </c>
      <c r="G2" s="1">
        <v>608.42999999999995</v>
      </c>
    </row>
    <row r="3" spans="1:7" x14ac:dyDescent="0.25">
      <c r="A3" s="1" t="s">
        <v>7</v>
      </c>
      <c r="B3" s="1">
        <v>43.93</v>
      </c>
      <c r="C3" s="1">
        <v>46.11</v>
      </c>
      <c r="D3" s="1">
        <v>46.37</v>
      </c>
      <c r="E3" s="1">
        <v>48.37</v>
      </c>
      <c r="F3" s="1">
        <v>49.75</v>
      </c>
      <c r="G3" s="1">
        <v>49.8</v>
      </c>
    </row>
    <row r="4" spans="1:7" x14ac:dyDescent="0.25">
      <c r="A4" s="1" t="s">
        <v>8</v>
      </c>
      <c r="B4" s="1">
        <v>26583.45</v>
      </c>
      <c r="C4" s="1">
        <v>27953.05</v>
      </c>
      <c r="D4" s="1">
        <v>27575.62</v>
      </c>
      <c r="E4" s="1">
        <v>22574.48</v>
      </c>
      <c r="F4" s="1">
        <v>24360.57</v>
      </c>
      <c r="G4" s="1">
        <v>30803.93</v>
      </c>
    </row>
    <row r="5" spans="1:7" x14ac:dyDescent="0.25">
      <c r="A5" s="1" t="s">
        <v>9</v>
      </c>
      <c r="B5" s="1">
        <v>834.23</v>
      </c>
      <c r="C5" s="1">
        <v>1124.08</v>
      </c>
      <c r="D5" s="1">
        <v>806.24</v>
      </c>
      <c r="E5" s="1">
        <v>577.4</v>
      </c>
      <c r="F5" s="1">
        <v>594.13</v>
      </c>
      <c r="G5" s="1">
        <v>762.75</v>
      </c>
    </row>
    <row r="6" spans="1:7" x14ac:dyDescent="0.25">
      <c r="A6" s="3" t="s">
        <v>10</v>
      </c>
      <c r="B6" s="3">
        <v>83.42</v>
      </c>
      <c r="C6" s="3">
        <v>113.54</v>
      </c>
      <c r="D6" s="3">
        <v>81.44</v>
      </c>
      <c r="E6" s="3">
        <v>58.32</v>
      </c>
      <c r="F6" s="3">
        <v>60.01</v>
      </c>
      <c r="G6" s="3">
        <v>77.83</v>
      </c>
    </row>
    <row r="7" spans="1:7" x14ac:dyDescent="0.25">
      <c r="A7" s="1" t="s">
        <v>11</v>
      </c>
      <c r="B7" s="1">
        <v>494.69</v>
      </c>
      <c r="C7" s="1">
        <v>844.88</v>
      </c>
      <c r="D7" s="1">
        <v>574.71</v>
      </c>
      <c r="E7" s="1">
        <v>500.74</v>
      </c>
      <c r="F7" s="1">
        <v>556.38</v>
      </c>
      <c r="G7" s="1">
        <v>534.85</v>
      </c>
    </row>
    <row r="8" spans="1:7" x14ac:dyDescent="0.25">
      <c r="A8" s="1" t="s">
        <v>12</v>
      </c>
      <c r="B8" s="1">
        <v>49.47</v>
      </c>
      <c r="C8" s="1">
        <v>85.34</v>
      </c>
      <c r="D8" s="1">
        <v>58.05</v>
      </c>
      <c r="E8" s="1">
        <v>50.58</v>
      </c>
      <c r="F8" s="1">
        <v>56.2</v>
      </c>
      <c r="G8" s="1">
        <v>54.58</v>
      </c>
    </row>
    <row r="9" spans="1:7" x14ac:dyDescent="0.25">
      <c r="A9" s="1" t="s">
        <v>13</v>
      </c>
      <c r="B9" s="1">
        <v>392.7</v>
      </c>
      <c r="C9" s="1">
        <v>779.54</v>
      </c>
      <c r="D9" s="1">
        <v>517.47</v>
      </c>
      <c r="E9" s="1">
        <v>212.72</v>
      </c>
      <c r="F9" s="1">
        <v>254.54</v>
      </c>
      <c r="G9" s="1">
        <v>486.67</v>
      </c>
    </row>
    <row r="10" spans="1:7" x14ac:dyDescent="0.25">
      <c r="A10" s="1" t="s">
        <v>14</v>
      </c>
      <c r="B10" s="1">
        <v>39.270000000000003</v>
      </c>
      <c r="C10" s="1">
        <v>78.739999999999995</v>
      </c>
      <c r="D10" s="1">
        <v>52.27</v>
      </c>
      <c r="E10" s="1">
        <v>21.49</v>
      </c>
      <c r="F10" s="1">
        <v>25.71</v>
      </c>
      <c r="G10" s="1">
        <v>49.66</v>
      </c>
    </row>
    <row r="11" spans="1:7" x14ac:dyDescent="0.25">
      <c r="A11" s="1" t="s">
        <v>15</v>
      </c>
      <c r="B11" s="1">
        <v>77.819999999999993</v>
      </c>
      <c r="C11" s="1">
        <v>274.58999999999997</v>
      </c>
      <c r="D11" s="1">
        <v>121.04</v>
      </c>
      <c r="E11" s="1">
        <v>114.42</v>
      </c>
      <c r="F11" s="1">
        <v>115.97</v>
      </c>
      <c r="G11" s="1">
        <v>145.93</v>
      </c>
    </row>
    <row r="12" spans="1:7" x14ac:dyDescent="0.25">
      <c r="A12" s="1" t="s">
        <v>16</v>
      </c>
      <c r="B12" s="1">
        <v>335.88</v>
      </c>
      <c r="C12" s="1">
        <v>332.32</v>
      </c>
      <c r="D12" s="1">
        <v>335.49</v>
      </c>
      <c r="E12" s="1">
        <v>143.75</v>
      </c>
      <c r="F12" s="1">
        <v>218.89</v>
      </c>
      <c r="G12" s="1">
        <v>313.58</v>
      </c>
    </row>
    <row r="13" spans="1:7" x14ac:dyDescent="0.25">
      <c r="A13" s="1" t="s">
        <v>17</v>
      </c>
      <c r="B13" s="1">
        <v>26.49</v>
      </c>
      <c r="C13" s="1">
        <v>44.99</v>
      </c>
      <c r="D13" s="1">
        <v>49.95</v>
      </c>
      <c r="E13" s="1">
        <v>59.84</v>
      </c>
      <c r="F13" s="1">
        <v>26.86</v>
      </c>
      <c r="G13" s="1">
        <v>31.66</v>
      </c>
    </row>
    <row r="14" spans="1:7" x14ac:dyDescent="0.25">
      <c r="A14" s="1" t="s">
        <v>18</v>
      </c>
      <c r="B14" s="1">
        <v>69.72</v>
      </c>
      <c r="C14" s="1">
        <v>109.01</v>
      </c>
      <c r="D14" s="1">
        <v>103.59</v>
      </c>
      <c r="E14" s="1">
        <v>93.7</v>
      </c>
      <c r="F14" s="1">
        <v>84.85</v>
      </c>
      <c r="G14" s="1">
        <v>71.14</v>
      </c>
    </row>
    <row r="15" spans="1:7" x14ac:dyDescent="0.25">
      <c r="A15" s="1" t="s">
        <v>19</v>
      </c>
      <c r="B15" s="1">
        <v>4</v>
      </c>
      <c r="C15" s="1">
        <v>6</v>
      </c>
      <c r="D15" s="1">
        <v>5</v>
      </c>
      <c r="E15" s="1">
        <v>7</v>
      </c>
      <c r="F15" s="1">
        <v>4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443.7</v>
      </c>
      <c r="C17" s="1">
        <v>812.21</v>
      </c>
      <c r="D17" s="1">
        <v>546.09</v>
      </c>
      <c r="E17" s="1">
        <v>356.73</v>
      </c>
      <c r="F17" s="1">
        <v>405.46</v>
      </c>
      <c r="G17" s="1">
        <v>510.76</v>
      </c>
    </row>
    <row r="18" spans="1:7" x14ac:dyDescent="0.25">
      <c r="A18" s="1" t="s">
        <v>22</v>
      </c>
      <c r="B18" s="1">
        <v>50.99</v>
      </c>
      <c r="C18" s="1">
        <v>32.67</v>
      </c>
      <c r="D18" s="1">
        <v>28.62</v>
      </c>
      <c r="E18" s="1">
        <v>144.01</v>
      </c>
      <c r="F18" s="1">
        <v>150.91999999999999</v>
      </c>
      <c r="G18" s="1">
        <v>24.09</v>
      </c>
    </row>
    <row r="19" spans="1:7" x14ac:dyDescent="0.25">
      <c r="A19" s="1" t="s">
        <v>23</v>
      </c>
      <c r="B19" s="1">
        <v>1</v>
      </c>
      <c r="C19" s="1">
        <v>0</v>
      </c>
      <c r="D19" s="1">
        <v>1</v>
      </c>
      <c r="E19" s="1">
        <v>3</v>
      </c>
      <c r="F19" s="1">
        <v>4</v>
      </c>
      <c r="G19" s="1">
        <v>1</v>
      </c>
    </row>
    <row r="20" spans="1:7" x14ac:dyDescent="0.25">
      <c r="A20" s="1" t="s">
        <v>24</v>
      </c>
      <c r="B20" s="1">
        <v>0.7</v>
      </c>
      <c r="C20" s="1">
        <v>0</v>
      </c>
      <c r="D20" s="1">
        <v>0.8</v>
      </c>
      <c r="E20" s="1">
        <v>3.5</v>
      </c>
      <c r="F20" s="1">
        <v>3.8</v>
      </c>
      <c r="G20" s="1">
        <v>0.8</v>
      </c>
    </row>
    <row r="21" spans="1:7" x14ac:dyDescent="0.25">
      <c r="A21" s="1" t="s">
        <v>25</v>
      </c>
      <c r="B21" s="1">
        <v>9.4</v>
      </c>
      <c r="C21" s="1">
        <v>10</v>
      </c>
      <c r="D21" s="1">
        <v>9.1999999999999993</v>
      </c>
      <c r="E21" s="1">
        <v>6.5</v>
      </c>
      <c r="F21" s="1">
        <v>6.2</v>
      </c>
      <c r="G21" s="1">
        <v>9.1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1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1.1000000000000001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5.3</v>
      </c>
      <c r="C25" s="1">
        <v>0</v>
      </c>
      <c r="D25" s="1">
        <v>1.1000000000000001</v>
      </c>
      <c r="E25" s="1">
        <v>8.5</v>
      </c>
      <c r="F25" s="1">
        <v>6.9</v>
      </c>
      <c r="G25" s="1">
        <v>4</v>
      </c>
    </row>
    <row r="26" spans="1:7" x14ac:dyDescent="0.25">
      <c r="A26" s="1" t="s">
        <v>30</v>
      </c>
      <c r="B26" s="1">
        <v>4.8</v>
      </c>
      <c r="C26" s="1">
        <v>10</v>
      </c>
      <c r="D26" s="1">
        <v>8.9</v>
      </c>
      <c r="E26" s="1">
        <v>1.5</v>
      </c>
      <c r="F26" s="1">
        <v>3.1</v>
      </c>
      <c r="G26" s="1">
        <v>5.9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52.475247524752476</v>
      </c>
      <c r="C30" s="3">
        <f t="shared" ref="C30:G30" si="2">C25/C28*100</f>
        <v>0</v>
      </c>
      <c r="D30" s="3">
        <f t="shared" si="2"/>
        <v>11.000000000000002</v>
      </c>
      <c r="E30" s="3">
        <f t="shared" si="2"/>
        <v>85</v>
      </c>
      <c r="F30" s="3">
        <f t="shared" si="2"/>
        <v>69</v>
      </c>
      <c r="G30" s="3">
        <f t="shared" si="2"/>
        <v>40.404040404040401</v>
      </c>
    </row>
    <row r="31" spans="1:7" x14ac:dyDescent="0.25">
      <c r="A31" s="3" t="s">
        <v>34</v>
      </c>
      <c r="B31" s="3">
        <f>B26/B28*100</f>
        <v>47.524752475247524</v>
      </c>
      <c r="C31" s="3">
        <f t="shared" ref="C31:G31" si="3">C26/C28*100</f>
        <v>100</v>
      </c>
      <c r="D31" s="3">
        <f t="shared" si="3"/>
        <v>89</v>
      </c>
      <c r="E31" s="3">
        <f t="shared" si="3"/>
        <v>15</v>
      </c>
      <c r="F31" s="3">
        <f t="shared" si="3"/>
        <v>31</v>
      </c>
      <c r="G31" s="3">
        <f t="shared" si="3"/>
        <v>59.595959595959599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58.89</v>
      </c>
      <c r="C33" s="3">
        <v>102.38</v>
      </c>
      <c r="D33" s="3">
        <v>70.02</v>
      </c>
      <c r="E33" s="3">
        <v>12.86</v>
      </c>
      <c r="F33" s="3">
        <v>21.37</v>
      </c>
      <c r="G33" s="3">
        <v>66.63</v>
      </c>
    </row>
    <row r="35" spans="1:7" x14ac:dyDescent="0.25">
      <c r="A35" s="3" t="s">
        <v>36</v>
      </c>
      <c r="B35" s="3"/>
      <c r="C35" s="3"/>
      <c r="D35" s="3">
        <f>D33-C33</f>
        <v>-32.36</v>
      </c>
      <c r="E35" s="3"/>
      <c r="F35" s="3">
        <f>F33-E33</f>
        <v>8.5100000000000016</v>
      </c>
      <c r="G35" s="3"/>
    </row>
    <row r="37" spans="1:7" x14ac:dyDescent="0.25">
      <c r="A37" s="3" t="s">
        <v>36</v>
      </c>
      <c r="B37" s="3"/>
      <c r="C37" s="3">
        <f>C33-B33</f>
        <v>43.489999999999995</v>
      </c>
      <c r="D37" s="3"/>
      <c r="E37" s="3">
        <f>E33-D33</f>
        <v>-57.16</v>
      </c>
      <c r="F37" s="3"/>
      <c r="G37" s="3">
        <f>G33-F33</f>
        <v>45.259999999999991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3A2DA-12F6-4D57-B661-86331DA7DCE3}">
  <dimension ref="A1:G37"/>
  <sheetViews>
    <sheetView topLeftCell="A10" workbookViewId="0">
      <selection activeCell="A39" sqref="A3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444.73</v>
      </c>
      <c r="C2" s="1">
        <v>463.2</v>
      </c>
      <c r="D2" s="1">
        <v>483.43</v>
      </c>
      <c r="E2" s="1">
        <v>447.66</v>
      </c>
      <c r="F2" s="1">
        <v>503.72</v>
      </c>
      <c r="G2" s="1">
        <v>524.30999999999995</v>
      </c>
    </row>
    <row r="3" spans="1:7" x14ac:dyDescent="0.25">
      <c r="A3" s="1" t="s">
        <v>7</v>
      </c>
      <c r="B3" s="1">
        <v>57.64</v>
      </c>
      <c r="C3" s="1">
        <v>52.81</v>
      </c>
      <c r="D3" s="1">
        <v>48.57</v>
      </c>
      <c r="E3" s="1">
        <v>48.98</v>
      </c>
      <c r="F3" s="1">
        <v>45.1</v>
      </c>
      <c r="G3" s="1">
        <v>48.68</v>
      </c>
    </row>
    <row r="4" spans="1:7" x14ac:dyDescent="0.25">
      <c r="A4" s="1" t="s">
        <v>8</v>
      </c>
      <c r="B4" s="1">
        <v>26034.18</v>
      </c>
      <c r="C4" s="1">
        <v>24860.71</v>
      </c>
      <c r="D4" s="1">
        <v>24064.959999999999</v>
      </c>
      <c r="E4" s="1">
        <v>22210.639999999999</v>
      </c>
      <c r="F4" s="1">
        <v>23038.16</v>
      </c>
      <c r="G4" s="1">
        <v>25965.53</v>
      </c>
    </row>
    <row r="5" spans="1:7" x14ac:dyDescent="0.25">
      <c r="A5" s="1" t="s">
        <v>9</v>
      </c>
      <c r="B5" s="1">
        <v>812.85</v>
      </c>
      <c r="C5" s="1">
        <v>673.92</v>
      </c>
      <c r="D5" s="1">
        <v>732.55</v>
      </c>
      <c r="E5" s="1">
        <v>624.91</v>
      </c>
      <c r="F5" s="1">
        <v>553.16</v>
      </c>
      <c r="G5" s="1">
        <v>807.91</v>
      </c>
    </row>
    <row r="6" spans="1:7" x14ac:dyDescent="0.25">
      <c r="A6" s="3" t="s">
        <v>10</v>
      </c>
      <c r="B6" s="3">
        <v>81.28</v>
      </c>
      <c r="C6" s="3">
        <v>68.069999999999993</v>
      </c>
      <c r="D6" s="3">
        <v>74</v>
      </c>
      <c r="E6" s="3">
        <v>63.12</v>
      </c>
      <c r="F6" s="3">
        <v>55.87</v>
      </c>
      <c r="G6" s="3">
        <v>82.44</v>
      </c>
    </row>
    <row r="7" spans="1:7" x14ac:dyDescent="0.25">
      <c r="A7" s="1" t="s">
        <v>11</v>
      </c>
      <c r="B7" s="1">
        <v>710.44</v>
      </c>
      <c r="C7" s="1">
        <v>507.98</v>
      </c>
      <c r="D7" s="1">
        <v>647.5</v>
      </c>
      <c r="E7" s="1">
        <v>459.52</v>
      </c>
      <c r="F7" s="1">
        <v>470.5</v>
      </c>
      <c r="G7" s="1">
        <v>519</v>
      </c>
    </row>
    <row r="8" spans="1:7" x14ac:dyDescent="0.25">
      <c r="A8" s="1" t="s">
        <v>12</v>
      </c>
      <c r="B8" s="1">
        <v>71.040000000000006</v>
      </c>
      <c r="C8" s="1">
        <v>51.31</v>
      </c>
      <c r="D8" s="1">
        <v>65.400000000000006</v>
      </c>
      <c r="E8" s="1">
        <v>46.42</v>
      </c>
      <c r="F8" s="1">
        <v>47.52</v>
      </c>
      <c r="G8" s="1">
        <v>52.96</v>
      </c>
    </row>
    <row r="9" spans="1:7" x14ac:dyDescent="0.25">
      <c r="A9" s="1" t="s">
        <v>13</v>
      </c>
      <c r="B9" s="1">
        <v>394.7</v>
      </c>
      <c r="C9" s="1">
        <v>-341.38</v>
      </c>
      <c r="D9" s="1">
        <v>-277.60000000000002</v>
      </c>
      <c r="E9" s="1">
        <v>191.77</v>
      </c>
      <c r="F9" s="1">
        <v>156.19999999999999</v>
      </c>
      <c r="G9" s="1">
        <v>346.8</v>
      </c>
    </row>
    <row r="10" spans="1:7" x14ac:dyDescent="0.25">
      <c r="A10" s="1" t="s">
        <v>14</v>
      </c>
      <c r="B10" s="1">
        <v>39.47</v>
      </c>
      <c r="C10" s="1">
        <v>-34.479999999999997</v>
      </c>
      <c r="D10" s="1">
        <v>-28.04</v>
      </c>
      <c r="E10" s="1">
        <v>19.37</v>
      </c>
      <c r="F10" s="1">
        <v>15.78</v>
      </c>
      <c r="G10" s="1">
        <v>35.39</v>
      </c>
    </row>
    <row r="11" spans="1:7" x14ac:dyDescent="0.25">
      <c r="A11" s="1" t="s">
        <v>15</v>
      </c>
      <c r="B11" s="1">
        <v>109.76</v>
      </c>
      <c r="C11" s="1">
        <v>119.52</v>
      </c>
      <c r="D11" s="1">
        <v>45.19</v>
      </c>
      <c r="E11" s="1">
        <v>171.39</v>
      </c>
      <c r="F11" s="1">
        <v>75.8</v>
      </c>
      <c r="G11" s="1">
        <v>111.71</v>
      </c>
    </row>
    <row r="12" spans="1:7" x14ac:dyDescent="0.25">
      <c r="A12" s="1" t="s">
        <v>16</v>
      </c>
      <c r="B12" s="1">
        <v>166.03</v>
      </c>
      <c r="C12" s="1">
        <v>159.41</v>
      </c>
      <c r="D12" s="1">
        <v>222.32</v>
      </c>
      <c r="E12" s="1">
        <v>209.52</v>
      </c>
      <c r="F12" s="1">
        <v>271.04000000000002</v>
      </c>
      <c r="G12" s="1">
        <v>271.77</v>
      </c>
    </row>
    <row r="13" spans="1:7" x14ac:dyDescent="0.25">
      <c r="A13" s="1" t="s">
        <v>17</v>
      </c>
      <c r="B13" s="1">
        <v>39.47</v>
      </c>
      <c r="C13" s="1">
        <v>43.11</v>
      </c>
      <c r="D13" s="1">
        <v>54.42</v>
      </c>
      <c r="E13" s="1">
        <v>40.04</v>
      </c>
      <c r="F13" s="1">
        <v>25.44</v>
      </c>
      <c r="G13" s="1">
        <v>41.23</v>
      </c>
    </row>
    <row r="14" spans="1:7" x14ac:dyDescent="0.25">
      <c r="A14" s="1" t="s">
        <v>18</v>
      </c>
      <c r="B14" s="1">
        <v>89.91</v>
      </c>
      <c r="C14" s="1">
        <v>87.56</v>
      </c>
      <c r="D14" s="1">
        <v>110.83</v>
      </c>
      <c r="E14" s="1">
        <v>71.19</v>
      </c>
      <c r="F14" s="1">
        <v>66.349999999999994</v>
      </c>
      <c r="G14" s="1">
        <v>78.41</v>
      </c>
    </row>
    <row r="15" spans="1:7" x14ac:dyDescent="0.25">
      <c r="A15" s="1" t="s">
        <v>19</v>
      </c>
      <c r="B15" s="1">
        <v>4</v>
      </c>
      <c r="C15" s="1">
        <v>6</v>
      </c>
      <c r="D15" s="1">
        <v>3</v>
      </c>
      <c r="E15" s="1">
        <v>3</v>
      </c>
      <c r="F15" s="1">
        <v>2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552.57000000000005</v>
      </c>
      <c r="C17" s="1">
        <v>83.3</v>
      </c>
      <c r="D17" s="1">
        <v>184.95</v>
      </c>
      <c r="E17" s="1">
        <v>325.64</v>
      </c>
      <c r="F17" s="1">
        <v>313.35000000000002</v>
      </c>
      <c r="G17" s="1">
        <v>432.9</v>
      </c>
    </row>
    <row r="18" spans="1:7" x14ac:dyDescent="0.25">
      <c r="A18" s="1" t="s">
        <v>22</v>
      </c>
      <c r="B18" s="1">
        <v>157.87</v>
      </c>
      <c r="C18" s="1">
        <v>424.68</v>
      </c>
      <c r="D18" s="1">
        <v>462.55</v>
      </c>
      <c r="E18" s="1">
        <v>133.88</v>
      </c>
      <c r="F18" s="1">
        <v>157.15</v>
      </c>
      <c r="G18" s="1">
        <v>86.1</v>
      </c>
    </row>
    <row r="19" spans="1:7" x14ac:dyDescent="0.25">
      <c r="A19" s="1" t="s">
        <v>23</v>
      </c>
      <c r="B19" s="1">
        <v>3</v>
      </c>
      <c r="C19" s="1">
        <v>4</v>
      </c>
      <c r="D19" s="1">
        <v>3</v>
      </c>
      <c r="E19" s="1">
        <v>3</v>
      </c>
      <c r="F19" s="1">
        <v>5</v>
      </c>
      <c r="G19" s="1">
        <v>4</v>
      </c>
    </row>
    <row r="20" spans="1:7" x14ac:dyDescent="0.25">
      <c r="A20" s="1" t="s">
        <v>24</v>
      </c>
      <c r="B20" s="1">
        <v>3.2</v>
      </c>
      <c r="C20" s="1">
        <v>7</v>
      </c>
      <c r="D20" s="1">
        <v>6.3</v>
      </c>
      <c r="E20" s="1">
        <v>3.5</v>
      </c>
      <c r="F20" s="1">
        <v>4.7</v>
      </c>
      <c r="G20" s="1">
        <v>2.4</v>
      </c>
    </row>
    <row r="21" spans="1:7" x14ac:dyDescent="0.25">
      <c r="A21" s="1" t="s">
        <v>25</v>
      </c>
      <c r="B21" s="1">
        <v>6.9</v>
      </c>
      <c r="C21" s="1">
        <v>3</v>
      </c>
      <c r="D21" s="1">
        <v>3.7</v>
      </c>
      <c r="E21" s="1">
        <v>6.5</v>
      </c>
      <c r="F21" s="1">
        <v>5.3</v>
      </c>
      <c r="G21" s="1">
        <v>7.5</v>
      </c>
    </row>
    <row r="22" spans="1:7" x14ac:dyDescent="0.25">
      <c r="A22" s="1" t="s">
        <v>26</v>
      </c>
      <c r="B22" s="1">
        <v>1</v>
      </c>
      <c r="C22" s="1">
        <v>0</v>
      </c>
      <c r="D22" s="1">
        <v>1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1</v>
      </c>
      <c r="C23" s="1">
        <v>0</v>
      </c>
      <c r="D23" s="1">
        <v>1.8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2.2000000000000002</v>
      </c>
      <c r="C24" s="1">
        <v>4</v>
      </c>
      <c r="D24" s="1">
        <v>2.5</v>
      </c>
      <c r="E24" s="1">
        <v>1</v>
      </c>
      <c r="F24" s="1">
        <v>1.4</v>
      </c>
      <c r="G24" s="1">
        <v>0</v>
      </c>
    </row>
    <row r="25" spans="1:7" x14ac:dyDescent="0.25">
      <c r="A25" s="1" t="s">
        <v>29</v>
      </c>
      <c r="B25" s="1">
        <v>3.6</v>
      </c>
      <c r="C25" s="1">
        <v>4.2</v>
      </c>
      <c r="D25" s="1">
        <v>6.5</v>
      </c>
      <c r="E25" s="1">
        <v>2.8</v>
      </c>
      <c r="F25" s="1">
        <v>7</v>
      </c>
      <c r="G25" s="1">
        <v>4</v>
      </c>
    </row>
    <row r="26" spans="1:7" x14ac:dyDescent="0.25">
      <c r="A26" s="1" t="s">
        <v>30</v>
      </c>
      <c r="B26" s="1">
        <v>4.3</v>
      </c>
      <c r="C26" s="1">
        <v>1.8</v>
      </c>
      <c r="D26" s="1">
        <v>1</v>
      </c>
      <c r="E26" s="1">
        <v>6.2</v>
      </c>
      <c r="F26" s="1">
        <v>1.6</v>
      </c>
      <c r="G26" s="1">
        <v>5.9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21.782178217821784</v>
      </c>
      <c r="C29" s="3">
        <f t="shared" ref="C29:G29" si="1">C24/C28*100</f>
        <v>40</v>
      </c>
      <c r="D29" s="3">
        <f t="shared" si="1"/>
        <v>25</v>
      </c>
      <c r="E29" s="3">
        <f t="shared" si="1"/>
        <v>10</v>
      </c>
      <c r="F29" s="3">
        <f t="shared" si="1"/>
        <v>13.999999999999998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35.64356435643564</v>
      </c>
      <c r="C30" s="3">
        <f t="shared" ref="C30:G30" si="2">C25/C28*100</f>
        <v>42.000000000000007</v>
      </c>
      <c r="D30" s="3">
        <f t="shared" si="2"/>
        <v>65</v>
      </c>
      <c r="E30" s="3">
        <f t="shared" si="2"/>
        <v>27.999999999999996</v>
      </c>
      <c r="F30" s="3">
        <f t="shared" si="2"/>
        <v>70</v>
      </c>
      <c r="G30" s="3">
        <f t="shared" si="2"/>
        <v>40.404040404040401</v>
      </c>
    </row>
    <row r="31" spans="1:7" x14ac:dyDescent="0.25">
      <c r="A31" s="3" t="s">
        <v>34</v>
      </c>
      <c r="B31" s="3">
        <f>B26/B28*100</f>
        <v>42.574257425742566</v>
      </c>
      <c r="C31" s="3">
        <f t="shared" ref="C31:G31" si="3">C26/C28*100</f>
        <v>18</v>
      </c>
      <c r="D31" s="3">
        <f t="shared" si="3"/>
        <v>10</v>
      </c>
      <c r="E31" s="3">
        <f t="shared" si="3"/>
        <v>62</v>
      </c>
      <c r="F31" s="3">
        <f t="shared" si="3"/>
        <v>16</v>
      </c>
      <c r="G31" s="3">
        <f t="shared" si="3"/>
        <v>59.595959595959599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28.38</v>
      </c>
      <c r="C33" s="3">
        <v>-33.19</v>
      </c>
      <c r="D33" s="3">
        <v>-20.14</v>
      </c>
      <c r="E33" s="3">
        <v>32.770000000000003</v>
      </c>
      <c r="F33" s="3">
        <v>5.79</v>
      </c>
      <c r="G33" s="3">
        <v>48.13</v>
      </c>
    </row>
    <row r="35" spans="1:7" x14ac:dyDescent="0.25">
      <c r="A35" s="3" t="s">
        <v>36</v>
      </c>
      <c r="B35" s="3"/>
      <c r="C35" s="3"/>
      <c r="D35" s="3">
        <f>D33-C33</f>
        <v>13.049999999999997</v>
      </c>
      <c r="E35" s="3"/>
      <c r="F35" s="3">
        <f>F33-E33</f>
        <v>-26.980000000000004</v>
      </c>
      <c r="G35" s="3"/>
    </row>
    <row r="37" spans="1:7" x14ac:dyDescent="0.25">
      <c r="A37" s="3" t="s">
        <v>36</v>
      </c>
      <c r="B37" s="3"/>
      <c r="C37" s="3">
        <f>C33-B33</f>
        <v>-61.569999999999993</v>
      </c>
      <c r="D37" s="3"/>
      <c r="E37" s="3">
        <f>E33-D33</f>
        <v>52.910000000000004</v>
      </c>
      <c r="F37" s="3"/>
      <c r="G37" s="3">
        <f>G33-F33</f>
        <v>42.34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BFCBB-9A84-44AD-961A-ADBEA594334A}">
  <dimension ref="A1:G37"/>
  <sheetViews>
    <sheetView topLeftCell="A7" workbookViewId="0">
      <selection activeCell="J27" sqref="J27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590.32000000000005</v>
      </c>
      <c r="C2" s="1">
        <v>547.80999999999995</v>
      </c>
      <c r="D2" s="1">
        <v>605.04999999999995</v>
      </c>
      <c r="E2" s="1">
        <v>587.20000000000005</v>
      </c>
      <c r="F2" s="1">
        <v>582.07000000000005</v>
      </c>
      <c r="G2" s="1">
        <v>587.39</v>
      </c>
    </row>
    <row r="3" spans="1:7" x14ac:dyDescent="0.25">
      <c r="A3" s="1" t="s">
        <v>7</v>
      </c>
      <c r="B3" s="1">
        <v>56.84</v>
      </c>
      <c r="C3" s="1">
        <v>62.5</v>
      </c>
      <c r="D3" s="1">
        <v>61</v>
      </c>
      <c r="E3" s="1">
        <v>58.23</v>
      </c>
      <c r="F3" s="1">
        <v>60.99</v>
      </c>
      <c r="G3" s="1">
        <v>57.78</v>
      </c>
    </row>
    <row r="4" spans="1:7" x14ac:dyDescent="0.25">
      <c r="A4" s="1" t="s">
        <v>8</v>
      </c>
      <c r="B4" s="1">
        <v>34125.949999999997</v>
      </c>
      <c r="C4" s="1">
        <v>34774.43</v>
      </c>
      <c r="D4" s="1">
        <v>37538.94</v>
      </c>
      <c r="E4" s="1">
        <v>34765.18</v>
      </c>
      <c r="F4" s="1">
        <v>36105.64</v>
      </c>
      <c r="G4" s="1">
        <v>34522.199999999997</v>
      </c>
    </row>
    <row r="5" spans="1:7" x14ac:dyDescent="0.25">
      <c r="A5" s="1" t="s">
        <v>9</v>
      </c>
      <c r="B5" s="1">
        <v>792.98</v>
      </c>
      <c r="C5" s="1">
        <v>709.26</v>
      </c>
      <c r="D5" s="1">
        <v>852.12</v>
      </c>
      <c r="E5" s="1">
        <v>596.65</v>
      </c>
      <c r="F5" s="1">
        <v>587.01</v>
      </c>
      <c r="G5" s="1">
        <v>821.46</v>
      </c>
    </row>
    <row r="6" spans="1:7" x14ac:dyDescent="0.25">
      <c r="A6" s="3" t="s">
        <v>10</v>
      </c>
      <c r="B6" s="3">
        <v>79.3</v>
      </c>
      <c r="C6" s="3">
        <v>71.64</v>
      </c>
      <c r="D6" s="3">
        <v>86.07</v>
      </c>
      <c r="E6" s="3">
        <v>60.27</v>
      </c>
      <c r="F6" s="3">
        <v>59.29</v>
      </c>
      <c r="G6" s="3">
        <v>83.82</v>
      </c>
    </row>
    <row r="7" spans="1:7" x14ac:dyDescent="0.25">
      <c r="A7" s="1" t="s">
        <v>11</v>
      </c>
      <c r="B7" s="1">
        <v>632.37</v>
      </c>
      <c r="C7" s="1">
        <v>600.44000000000005</v>
      </c>
      <c r="D7" s="1">
        <v>691.41</v>
      </c>
      <c r="E7" s="1">
        <v>504.27</v>
      </c>
      <c r="F7" s="1">
        <v>493.69</v>
      </c>
      <c r="G7" s="1">
        <v>657.16</v>
      </c>
    </row>
    <row r="8" spans="1:7" x14ac:dyDescent="0.25">
      <c r="A8" s="1" t="s">
        <v>12</v>
      </c>
      <c r="B8" s="1">
        <v>63.24</v>
      </c>
      <c r="C8" s="1">
        <v>60.65</v>
      </c>
      <c r="D8" s="1">
        <v>69.84</v>
      </c>
      <c r="E8" s="1">
        <v>50.94</v>
      </c>
      <c r="F8" s="1">
        <v>49.87</v>
      </c>
      <c r="G8" s="1">
        <v>67.06</v>
      </c>
    </row>
    <row r="9" spans="1:7" x14ac:dyDescent="0.25">
      <c r="A9" s="1" t="s">
        <v>13</v>
      </c>
      <c r="B9" s="1">
        <v>624.6</v>
      </c>
      <c r="C9" s="1">
        <v>469.58</v>
      </c>
      <c r="D9" s="1">
        <v>690.59</v>
      </c>
      <c r="E9" s="1">
        <v>437.3</v>
      </c>
      <c r="F9" s="1">
        <v>-277.5</v>
      </c>
      <c r="G9" s="1">
        <v>596.11</v>
      </c>
    </row>
    <row r="10" spans="1:7" x14ac:dyDescent="0.25">
      <c r="A10" s="1" t="s">
        <v>14</v>
      </c>
      <c r="B10" s="1">
        <v>62.46</v>
      </c>
      <c r="C10" s="1">
        <v>47.43</v>
      </c>
      <c r="D10" s="1">
        <v>69.760000000000005</v>
      </c>
      <c r="E10" s="1">
        <v>44.17</v>
      </c>
      <c r="F10" s="1">
        <v>-28.03</v>
      </c>
      <c r="G10" s="1">
        <v>60.83</v>
      </c>
    </row>
    <row r="11" spans="1:7" x14ac:dyDescent="0.25">
      <c r="A11" s="1" t="s">
        <v>15</v>
      </c>
      <c r="B11" s="1">
        <v>205.64</v>
      </c>
      <c r="C11" s="1">
        <v>191.46</v>
      </c>
      <c r="D11" s="1">
        <v>240.48</v>
      </c>
      <c r="E11" s="1">
        <v>99.28</v>
      </c>
      <c r="F11" s="1">
        <v>53.84</v>
      </c>
      <c r="G11" s="1">
        <v>227.38</v>
      </c>
    </row>
    <row r="12" spans="1:7" x14ac:dyDescent="0.25">
      <c r="A12" s="1" t="s">
        <v>16</v>
      </c>
      <c r="B12" s="1">
        <v>302.25</v>
      </c>
      <c r="C12" s="1">
        <v>210.85</v>
      </c>
      <c r="D12" s="1">
        <v>306</v>
      </c>
      <c r="E12" s="1">
        <v>261.07</v>
      </c>
      <c r="F12" s="1">
        <v>223.79</v>
      </c>
      <c r="G12" s="1">
        <v>320.54000000000002</v>
      </c>
    </row>
    <row r="13" spans="1:7" x14ac:dyDescent="0.25">
      <c r="A13" s="1" t="s">
        <v>17</v>
      </c>
      <c r="B13" s="1">
        <v>56.85</v>
      </c>
      <c r="C13" s="1">
        <v>53.65</v>
      </c>
      <c r="D13" s="1">
        <v>39.47</v>
      </c>
      <c r="E13" s="1">
        <v>68.569999999999993</v>
      </c>
      <c r="F13" s="1">
        <v>52.61</v>
      </c>
      <c r="G13" s="1">
        <v>46.76</v>
      </c>
    </row>
    <row r="14" spans="1:7" x14ac:dyDescent="0.25">
      <c r="A14" s="1" t="s">
        <v>18</v>
      </c>
      <c r="B14" s="1">
        <v>98.6</v>
      </c>
      <c r="C14" s="1">
        <v>100.11</v>
      </c>
      <c r="D14" s="1">
        <v>98.67</v>
      </c>
      <c r="E14" s="1">
        <v>108</v>
      </c>
      <c r="F14" s="1">
        <v>102.26</v>
      </c>
      <c r="G14" s="1">
        <v>95.04</v>
      </c>
    </row>
    <row r="15" spans="1:7" x14ac:dyDescent="0.25">
      <c r="A15" s="1" t="s">
        <v>19</v>
      </c>
      <c r="B15" s="1">
        <v>4</v>
      </c>
      <c r="C15" s="1">
        <v>7</v>
      </c>
      <c r="D15" s="1">
        <v>3</v>
      </c>
      <c r="E15" s="1">
        <v>3</v>
      </c>
      <c r="F15" s="1">
        <v>4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628.48</v>
      </c>
      <c r="C17" s="1">
        <v>535.01</v>
      </c>
      <c r="D17" s="1">
        <v>691</v>
      </c>
      <c r="E17" s="1">
        <v>470.78</v>
      </c>
      <c r="F17" s="1">
        <v>108.09</v>
      </c>
      <c r="G17" s="1">
        <v>626.64</v>
      </c>
    </row>
    <row r="18" spans="1:7" x14ac:dyDescent="0.25">
      <c r="A18" s="1" t="s">
        <v>22</v>
      </c>
      <c r="B18" s="1">
        <v>3.88</v>
      </c>
      <c r="C18" s="1">
        <v>65.430000000000007</v>
      </c>
      <c r="D18" s="1">
        <v>0.41</v>
      </c>
      <c r="E18" s="1">
        <v>33.479999999999997</v>
      </c>
      <c r="F18" s="1">
        <v>385.6</v>
      </c>
      <c r="G18" s="1">
        <v>30.52</v>
      </c>
    </row>
    <row r="19" spans="1:7" x14ac:dyDescent="0.25">
      <c r="A19" s="1" t="s">
        <v>23</v>
      </c>
      <c r="B19" s="1">
        <v>0</v>
      </c>
      <c r="C19" s="1">
        <v>2</v>
      </c>
      <c r="D19" s="1">
        <v>0</v>
      </c>
      <c r="E19" s="1">
        <v>1</v>
      </c>
      <c r="F19" s="1">
        <v>3</v>
      </c>
      <c r="G19" s="1">
        <v>1</v>
      </c>
    </row>
    <row r="20" spans="1:7" x14ac:dyDescent="0.25">
      <c r="A20" s="1" t="s">
        <v>24</v>
      </c>
      <c r="B20" s="1">
        <v>0</v>
      </c>
      <c r="C20" s="1">
        <v>2.1</v>
      </c>
      <c r="D20" s="1">
        <v>0</v>
      </c>
      <c r="E20" s="1">
        <v>2.7</v>
      </c>
      <c r="F20" s="1">
        <v>6.1</v>
      </c>
      <c r="G20" s="1">
        <v>0.7</v>
      </c>
    </row>
    <row r="21" spans="1:7" x14ac:dyDescent="0.25">
      <c r="A21" s="1" t="s">
        <v>25</v>
      </c>
      <c r="B21" s="1">
        <v>10.1</v>
      </c>
      <c r="C21" s="1">
        <v>7.9</v>
      </c>
      <c r="D21" s="1">
        <v>10</v>
      </c>
      <c r="E21" s="1">
        <v>7.3</v>
      </c>
      <c r="F21" s="1">
        <v>3.9</v>
      </c>
      <c r="G21" s="1">
        <v>9.1999999999999993</v>
      </c>
    </row>
    <row r="22" spans="1:7" x14ac:dyDescent="0.25">
      <c r="A22" s="1" t="s">
        <v>26</v>
      </c>
      <c r="B22" s="1">
        <v>0</v>
      </c>
      <c r="C22" s="1">
        <v>1</v>
      </c>
      <c r="D22" s="1">
        <v>0</v>
      </c>
      <c r="E22" s="1">
        <v>0</v>
      </c>
      <c r="F22" s="1">
        <v>1</v>
      </c>
      <c r="G22" s="1">
        <v>0</v>
      </c>
    </row>
    <row r="23" spans="1:7" x14ac:dyDescent="0.25">
      <c r="A23" s="1" t="s">
        <v>27</v>
      </c>
      <c r="B23" s="1">
        <v>0</v>
      </c>
      <c r="C23" s="1">
        <v>1.5</v>
      </c>
      <c r="D23" s="1">
        <v>0</v>
      </c>
      <c r="E23" s="1">
        <v>0</v>
      </c>
      <c r="F23" s="1">
        <v>1.7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4.3</v>
      </c>
      <c r="G24" s="1">
        <v>0</v>
      </c>
    </row>
    <row r="25" spans="1:7" x14ac:dyDescent="0.25">
      <c r="A25" s="1" t="s">
        <v>29</v>
      </c>
      <c r="B25" s="1">
        <v>0</v>
      </c>
      <c r="C25" s="1">
        <v>3</v>
      </c>
      <c r="D25" s="1">
        <v>0</v>
      </c>
      <c r="E25" s="1">
        <v>2.9</v>
      </c>
      <c r="F25" s="1">
        <v>4.7</v>
      </c>
      <c r="G25" s="1">
        <v>2.1</v>
      </c>
    </row>
    <row r="26" spans="1:7" x14ac:dyDescent="0.25">
      <c r="A26" s="1" t="s">
        <v>30</v>
      </c>
      <c r="B26" s="1">
        <v>10.1</v>
      </c>
      <c r="C26" s="1">
        <v>7</v>
      </c>
      <c r="D26" s="1">
        <v>10</v>
      </c>
      <c r="E26" s="1">
        <v>7.1</v>
      </c>
      <c r="F26" s="1">
        <v>1</v>
      </c>
      <c r="G26" s="1">
        <v>7.8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43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30</v>
      </c>
      <c r="D30" s="3">
        <f t="shared" si="2"/>
        <v>0</v>
      </c>
      <c r="E30" s="3">
        <f t="shared" si="2"/>
        <v>28.999999999999996</v>
      </c>
      <c r="F30" s="3">
        <f t="shared" si="2"/>
        <v>47</v>
      </c>
      <c r="G30" s="3">
        <f t="shared" si="2"/>
        <v>21.212121212121211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70</v>
      </c>
      <c r="D31" s="3">
        <f t="shared" si="3"/>
        <v>100</v>
      </c>
      <c r="E31" s="3">
        <f t="shared" si="3"/>
        <v>71</v>
      </c>
      <c r="F31" s="3">
        <f t="shared" si="3"/>
        <v>10</v>
      </c>
      <c r="G31" s="3">
        <f t="shared" si="3"/>
        <v>78.787878787878782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77.05</v>
      </c>
      <c r="C33" s="3">
        <v>48.56</v>
      </c>
      <c r="D33" s="3">
        <v>83.55</v>
      </c>
      <c r="E33" s="3">
        <v>45.4</v>
      </c>
      <c r="F33" s="3">
        <v>-18.61</v>
      </c>
      <c r="G33" s="3">
        <v>73.02</v>
      </c>
    </row>
    <row r="35" spans="1:7" x14ac:dyDescent="0.25">
      <c r="A35" s="3" t="s">
        <v>36</v>
      </c>
      <c r="B35" s="3"/>
      <c r="C35" s="3"/>
      <c r="D35" s="3">
        <f>D33-C33</f>
        <v>34.989999999999995</v>
      </c>
      <c r="E35" s="3"/>
      <c r="F35" s="3">
        <f>F33-E33</f>
        <v>-64.009999999999991</v>
      </c>
      <c r="G35" s="3"/>
    </row>
    <row r="37" spans="1:7" x14ac:dyDescent="0.25">
      <c r="A37" s="3" t="s">
        <v>36</v>
      </c>
      <c r="B37" s="3"/>
      <c r="C37" s="3">
        <f>C33-B33</f>
        <v>-28.489999999999995</v>
      </c>
      <c r="D37" s="3"/>
      <c r="E37" s="3">
        <f>E33-D33</f>
        <v>-38.15</v>
      </c>
      <c r="F37" s="3"/>
      <c r="G37" s="3">
        <f>G33-F33</f>
        <v>91.63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E2157-2741-474B-A203-995761EFB2DA}">
  <dimension ref="A1:G37"/>
  <sheetViews>
    <sheetView topLeftCell="A7" workbookViewId="0">
      <selection activeCell="I26" sqref="I2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590.17999999999995</v>
      </c>
      <c r="C2" s="1">
        <v>579.72</v>
      </c>
      <c r="D2" s="1">
        <v>591.19000000000005</v>
      </c>
      <c r="E2" s="1">
        <v>519.61</v>
      </c>
      <c r="F2" s="1">
        <v>541.92999999999995</v>
      </c>
      <c r="G2" s="1">
        <v>589.84</v>
      </c>
    </row>
    <row r="3" spans="1:7" x14ac:dyDescent="0.25">
      <c r="A3" s="1" t="s">
        <v>7</v>
      </c>
      <c r="B3" s="1">
        <v>50.39</v>
      </c>
      <c r="C3" s="1">
        <v>54.25</v>
      </c>
      <c r="D3" s="1">
        <v>49.84</v>
      </c>
      <c r="E3" s="1">
        <v>60.71</v>
      </c>
      <c r="F3" s="1">
        <v>56.19</v>
      </c>
      <c r="G3" s="1">
        <v>55.5</v>
      </c>
    </row>
    <row r="4" spans="1:7" x14ac:dyDescent="0.25">
      <c r="A4" s="1" t="s">
        <v>8</v>
      </c>
      <c r="B4" s="1">
        <v>30248.21</v>
      </c>
      <c r="C4" s="1">
        <v>31980.57</v>
      </c>
      <c r="D4" s="1">
        <v>29934.33</v>
      </c>
      <c r="E4" s="1">
        <v>32093.35</v>
      </c>
      <c r="F4" s="1">
        <v>30860.68</v>
      </c>
      <c r="G4" s="1">
        <v>33294.019999999997</v>
      </c>
    </row>
    <row r="5" spans="1:7" x14ac:dyDescent="0.25">
      <c r="A5" s="1" t="s">
        <v>9</v>
      </c>
      <c r="B5" s="1">
        <v>983.9</v>
      </c>
      <c r="C5" s="1">
        <v>851.4</v>
      </c>
      <c r="D5" s="1">
        <v>609.82000000000005</v>
      </c>
      <c r="E5" s="1">
        <v>818.56</v>
      </c>
      <c r="F5" s="1">
        <v>767.17</v>
      </c>
      <c r="G5" s="1">
        <v>1167.2</v>
      </c>
    </row>
    <row r="6" spans="1:7" x14ac:dyDescent="0.25">
      <c r="A6" s="3" t="s">
        <v>10</v>
      </c>
      <c r="B6" s="3">
        <v>98.39</v>
      </c>
      <c r="C6" s="3">
        <v>86</v>
      </c>
      <c r="D6" s="3">
        <v>61.6</v>
      </c>
      <c r="E6" s="3">
        <v>82.68</v>
      </c>
      <c r="F6" s="3">
        <v>77.489999999999995</v>
      </c>
      <c r="G6" s="3">
        <v>119.1</v>
      </c>
    </row>
    <row r="7" spans="1:7" x14ac:dyDescent="0.25">
      <c r="A7" s="1" t="s">
        <v>11</v>
      </c>
      <c r="B7" s="1">
        <v>961.34</v>
      </c>
      <c r="C7" s="1">
        <v>821.17</v>
      </c>
      <c r="D7" s="1">
        <v>584.13</v>
      </c>
      <c r="E7" s="1">
        <v>675.02</v>
      </c>
      <c r="F7" s="1">
        <v>746.12</v>
      </c>
      <c r="G7" s="1">
        <v>1152.27</v>
      </c>
    </row>
    <row r="8" spans="1:7" x14ac:dyDescent="0.25">
      <c r="A8" s="1" t="s">
        <v>12</v>
      </c>
      <c r="B8" s="1">
        <v>96.13</v>
      </c>
      <c r="C8" s="1">
        <v>82.95</v>
      </c>
      <c r="D8" s="1">
        <v>59</v>
      </c>
      <c r="E8" s="1">
        <v>68.180000000000007</v>
      </c>
      <c r="F8" s="1">
        <v>75.37</v>
      </c>
      <c r="G8" s="1">
        <v>117.58</v>
      </c>
    </row>
    <row r="9" spans="1:7" x14ac:dyDescent="0.25">
      <c r="A9" s="1" t="s">
        <v>13</v>
      </c>
      <c r="B9" s="1">
        <v>954.65</v>
      </c>
      <c r="C9" s="1">
        <v>818.59</v>
      </c>
      <c r="D9" s="1">
        <v>489.52</v>
      </c>
      <c r="E9" s="1">
        <v>-520.48</v>
      </c>
      <c r="F9" s="1">
        <v>677.56</v>
      </c>
      <c r="G9" s="1">
        <v>1152.2</v>
      </c>
    </row>
    <row r="10" spans="1:7" x14ac:dyDescent="0.25">
      <c r="A10" s="1" t="s">
        <v>14</v>
      </c>
      <c r="B10" s="1">
        <v>95.47</v>
      </c>
      <c r="C10" s="1">
        <v>82.69</v>
      </c>
      <c r="D10" s="1">
        <v>49.45</v>
      </c>
      <c r="E10" s="1">
        <v>-52.57</v>
      </c>
      <c r="F10" s="1">
        <v>68.44</v>
      </c>
      <c r="G10" s="1">
        <v>117.57</v>
      </c>
    </row>
    <row r="11" spans="1:7" x14ac:dyDescent="0.25">
      <c r="A11" s="1" t="s">
        <v>15</v>
      </c>
      <c r="B11" s="1">
        <v>749.42</v>
      </c>
      <c r="C11" s="1">
        <v>439.68</v>
      </c>
      <c r="D11" s="1">
        <v>406.06</v>
      </c>
      <c r="E11" s="1">
        <v>160.66999999999999</v>
      </c>
      <c r="F11" s="1">
        <v>395.9</v>
      </c>
      <c r="G11" s="1">
        <v>866.59</v>
      </c>
    </row>
    <row r="12" spans="1:7" x14ac:dyDescent="0.25">
      <c r="A12" s="1" t="s">
        <v>16</v>
      </c>
      <c r="B12" s="1">
        <v>284.62</v>
      </c>
      <c r="C12" s="1">
        <v>239.2</v>
      </c>
      <c r="D12" s="1">
        <v>273.89</v>
      </c>
      <c r="E12" s="1">
        <v>169.31</v>
      </c>
      <c r="F12" s="1">
        <v>231.11</v>
      </c>
      <c r="G12" s="1">
        <v>287.20999999999998</v>
      </c>
    </row>
    <row r="13" spans="1:7" x14ac:dyDescent="0.25">
      <c r="A13" s="1" t="s">
        <v>17</v>
      </c>
      <c r="B13" s="1">
        <v>37.18</v>
      </c>
      <c r="C13" s="1">
        <v>57.03</v>
      </c>
      <c r="D13" s="1">
        <v>35.74</v>
      </c>
      <c r="E13" s="1">
        <v>64.760000000000005</v>
      </c>
      <c r="F13" s="1">
        <v>50.17</v>
      </c>
      <c r="G13" s="1">
        <v>40.35</v>
      </c>
    </row>
    <row r="14" spans="1:7" x14ac:dyDescent="0.25">
      <c r="A14" s="1" t="s">
        <v>18</v>
      </c>
      <c r="B14" s="1">
        <v>73.430000000000007</v>
      </c>
      <c r="C14" s="1">
        <v>107.36</v>
      </c>
      <c r="D14" s="1">
        <v>79.900000000000006</v>
      </c>
      <c r="E14" s="1">
        <v>109.38</v>
      </c>
      <c r="F14" s="1">
        <v>88.61</v>
      </c>
      <c r="G14" s="1">
        <v>91.72</v>
      </c>
    </row>
    <row r="15" spans="1:7" x14ac:dyDescent="0.25">
      <c r="A15" s="1" t="s">
        <v>19</v>
      </c>
      <c r="B15" s="1">
        <v>3</v>
      </c>
      <c r="C15" s="1">
        <v>3</v>
      </c>
      <c r="D15" s="1">
        <v>3</v>
      </c>
      <c r="E15" s="1">
        <v>4</v>
      </c>
      <c r="F15" s="1">
        <v>3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958</v>
      </c>
      <c r="C17" s="1">
        <v>819.88</v>
      </c>
      <c r="D17" s="1">
        <v>536.82000000000005</v>
      </c>
      <c r="E17" s="1">
        <v>77.27</v>
      </c>
      <c r="F17" s="1">
        <v>711.84</v>
      </c>
      <c r="G17" s="1">
        <v>1152.23</v>
      </c>
    </row>
    <row r="18" spans="1:7" x14ac:dyDescent="0.25">
      <c r="A18" s="1" t="s">
        <v>22</v>
      </c>
      <c r="B18" s="1">
        <v>3.34</v>
      </c>
      <c r="C18" s="1">
        <v>1.29</v>
      </c>
      <c r="D18" s="1">
        <v>47.31</v>
      </c>
      <c r="E18" s="1">
        <v>597.75</v>
      </c>
      <c r="F18" s="1">
        <v>34.28</v>
      </c>
      <c r="G18" s="1">
        <v>0.03</v>
      </c>
    </row>
    <row r="19" spans="1:7" x14ac:dyDescent="0.25">
      <c r="A19" s="1" t="s">
        <v>23</v>
      </c>
      <c r="B19" s="1">
        <v>0</v>
      </c>
      <c r="C19" s="1">
        <v>0</v>
      </c>
      <c r="D19" s="1">
        <v>1</v>
      </c>
      <c r="E19" s="1">
        <v>4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0.9</v>
      </c>
      <c r="E20" s="1">
        <v>8.1999999999999993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9.1</v>
      </c>
      <c r="E21" s="1">
        <v>1.8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3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1.7</v>
      </c>
      <c r="E25" s="1">
        <v>7</v>
      </c>
      <c r="F25" s="1">
        <v>2.9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8.3000000000000007</v>
      </c>
      <c r="E26" s="1">
        <v>0</v>
      </c>
      <c r="F26" s="1">
        <v>7.1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30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17</v>
      </c>
      <c r="E30" s="3">
        <f t="shared" si="2"/>
        <v>70</v>
      </c>
      <c r="F30" s="3">
        <f t="shared" si="2"/>
        <v>28.999999999999996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83</v>
      </c>
      <c r="E31" s="3">
        <f t="shared" si="3"/>
        <v>0</v>
      </c>
      <c r="F31" s="3">
        <f t="shared" si="3"/>
        <v>71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95.01</v>
      </c>
      <c r="C33" s="3">
        <v>85.23</v>
      </c>
      <c r="D33" s="3">
        <v>51.79</v>
      </c>
      <c r="E33" s="3">
        <v>-54.98</v>
      </c>
      <c r="F33" s="3">
        <v>68.06</v>
      </c>
      <c r="G33" s="3">
        <v>117.57</v>
      </c>
    </row>
    <row r="35" spans="1:7" x14ac:dyDescent="0.25">
      <c r="A35" s="3" t="s">
        <v>36</v>
      </c>
      <c r="B35" s="3"/>
      <c r="C35" s="3"/>
      <c r="D35" s="3">
        <f>D33-C33</f>
        <v>-33.440000000000005</v>
      </c>
      <c r="E35" s="3"/>
      <c r="F35" s="3">
        <f>F33-E33</f>
        <v>123.03999999999999</v>
      </c>
      <c r="G35" s="3"/>
    </row>
    <row r="37" spans="1:7" x14ac:dyDescent="0.25">
      <c r="A37" s="3" t="s">
        <v>36</v>
      </c>
      <c r="B37" s="3"/>
      <c r="C37" s="3">
        <f>C33-B33</f>
        <v>-9.7800000000000011</v>
      </c>
      <c r="D37" s="3"/>
      <c r="E37" s="3">
        <f>E33-D33</f>
        <v>-106.77</v>
      </c>
      <c r="F37" s="3"/>
      <c r="G37" s="3">
        <f>G33-F33</f>
        <v>49.509999999999991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420F7-595B-4AAE-876A-8FBB7DED0882}">
  <dimension ref="A1:G37"/>
  <sheetViews>
    <sheetView topLeftCell="A13" workbookViewId="0">
      <selection activeCell="B41" sqref="B41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576.74</v>
      </c>
      <c r="C2" s="1">
        <v>648.9</v>
      </c>
      <c r="D2" s="1">
        <v>636.49</v>
      </c>
      <c r="E2" s="1">
        <v>570.82000000000005</v>
      </c>
      <c r="F2" s="1">
        <v>520.29999999999995</v>
      </c>
      <c r="G2" s="1">
        <v>659.07</v>
      </c>
    </row>
    <row r="3" spans="1:7" x14ac:dyDescent="0.25">
      <c r="A3" s="1" t="s">
        <v>7</v>
      </c>
      <c r="B3" s="1">
        <v>57.1</v>
      </c>
      <c r="C3" s="1">
        <v>57.73</v>
      </c>
      <c r="D3" s="1">
        <v>56.25</v>
      </c>
      <c r="E3" s="1">
        <v>53.06</v>
      </c>
      <c r="F3" s="1">
        <v>58.53</v>
      </c>
      <c r="G3" s="1">
        <v>56.34</v>
      </c>
    </row>
    <row r="4" spans="1:7" x14ac:dyDescent="0.25">
      <c r="A4" s="1" t="s">
        <v>8</v>
      </c>
      <c r="B4" s="1">
        <v>33350.85</v>
      </c>
      <c r="C4" s="1">
        <v>38100.53</v>
      </c>
      <c r="D4" s="1">
        <v>36421.33</v>
      </c>
      <c r="E4" s="1">
        <v>30594.87</v>
      </c>
      <c r="F4" s="1">
        <v>30794.31</v>
      </c>
      <c r="G4" s="1">
        <v>37782.050000000003</v>
      </c>
    </row>
    <row r="5" spans="1:7" x14ac:dyDescent="0.25">
      <c r="A5" s="1" t="s">
        <v>9</v>
      </c>
      <c r="B5" s="1">
        <v>1150.08</v>
      </c>
      <c r="C5" s="1">
        <v>1293.26</v>
      </c>
      <c r="D5" s="1">
        <v>1317.34</v>
      </c>
      <c r="E5" s="1">
        <v>538.29999999999995</v>
      </c>
      <c r="F5" s="1">
        <v>763.09</v>
      </c>
      <c r="G5" s="1">
        <v>1463.1</v>
      </c>
    </row>
    <row r="6" spans="1:7" x14ac:dyDescent="0.25">
      <c r="A6" s="3" t="s">
        <v>10</v>
      </c>
      <c r="B6" s="3">
        <v>115.01</v>
      </c>
      <c r="C6" s="3">
        <v>130.63</v>
      </c>
      <c r="D6" s="3">
        <v>133.06</v>
      </c>
      <c r="E6" s="3">
        <v>54.37</v>
      </c>
      <c r="F6" s="3">
        <v>77.08</v>
      </c>
      <c r="G6" s="3">
        <v>149.30000000000001</v>
      </c>
    </row>
    <row r="7" spans="1:7" x14ac:dyDescent="0.25">
      <c r="A7" s="1" t="s">
        <v>11</v>
      </c>
      <c r="B7" s="1">
        <v>1056.94</v>
      </c>
      <c r="C7" s="1">
        <v>1254.1600000000001</v>
      </c>
      <c r="D7" s="1">
        <v>1279.31</v>
      </c>
      <c r="E7" s="1">
        <v>522.14</v>
      </c>
      <c r="F7" s="1">
        <v>697.48</v>
      </c>
      <c r="G7" s="1">
        <v>1410.51</v>
      </c>
    </row>
    <row r="8" spans="1:7" x14ac:dyDescent="0.25">
      <c r="A8" s="1" t="s">
        <v>12</v>
      </c>
      <c r="B8" s="1">
        <v>105.69</v>
      </c>
      <c r="C8" s="1">
        <v>126.68</v>
      </c>
      <c r="D8" s="1">
        <v>129.22</v>
      </c>
      <c r="E8" s="1">
        <v>52.74</v>
      </c>
      <c r="F8" s="1">
        <v>70.45</v>
      </c>
      <c r="G8" s="1">
        <v>143.93</v>
      </c>
    </row>
    <row r="9" spans="1:7" x14ac:dyDescent="0.25">
      <c r="A9" s="1" t="s">
        <v>13</v>
      </c>
      <c r="B9" s="1">
        <v>1049.97</v>
      </c>
      <c r="C9" s="1">
        <v>1254.1600000000001</v>
      </c>
      <c r="D9" s="1">
        <v>1279.31</v>
      </c>
      <c r="E9" s="1">
        <v>213.76</v>
      </c>
      <c r="F9" s="1">
        <v>227.63</v>
      </c>
      <c r="G9" s="1">
        <v>1402.77</v>
      </c>
    </row>
    <row r="10" spans="1:7" x14ac:dyDescent="0.25">
      <c r="A10" s="1" t="s">
        <v>14</v>
      </c>
      <c r="B10" s="1">
        <v>105</v>
      </c>
      <c r="C10" s="1">
        <v>126.68</v>
      </c>
      <c r="D10" s="1">
        <v>129.22</v>
      </c>
      <c r="E10" s="1">
        <v>21.59</v>
      </c>
      <c r="F10" s="1">
        <v>22.99</v>
      </c>
      <c r="G10" s="1">
        <v>143.13999999999999</v>
      </c>
    </row>
    <row r="11" spans="1:7" x14ac:dyDescent="0.25">
      <c r="A11" s="1" t="s">
        <v>15</v>
      </c>
      <c r="B11" s="1">
        <v>476.85</v>
      </c>
      <c r="C11" s="1">
        <v>775.77</v>
      </c>
      <c r="D11" s="1">
        <v>894.26</v>
      </c>
      <c r="E11" s="1">
        <v>134.44999999999999</v>
      </c>
      <c r="F11" s="1">
        <v>116.24</v>
      </c>
      <c r="G11" s="1">
        <v>1036.1600000000001</v>
      </c>
    </row>
    <row r="12" spans="1:7" x14ac:dyDescent="0.25">
      <c r="A12" s="1" t="s">
        <v>16</v>
      </c>
      <c r="B12" s="1">
        <v>301.33999999999997</v>
      </c>
      <c r="C12" s="1">
        <v>298.05</v>
      </c>
      <c r="D12" s="1">
        <v>299.38</v>
      </c>
      <c r="E12" s="1">
        <v>273.93</v>
      </c>
      <c r="F12" s="1">
        <v>199.31</v>
      </c>
      <c r="G12" s="1">
        <v>312.48</v>
      </c>
    </row>
    <row r="13" spans="1:7" x14ac:dyDescent="0.25">
      <c r="A13" s="1" t="s">
        <v>17</v>
      </c>
      <c r="B13" s="1">
        <v>42.66</v>
      </c>
      <c r="C13" s="1">
        <v>51.76</v>
      </c>
      <c r="D13" s="1">
        <v>55.14</v>
      </c>
      <c r="E13" s="1">
        <v>19.739999999999998</v>
      </c>
      <c r="F13" s="1">
        <v>48.39</v>
      </c>
      <c r="G13" s="1">
        <v>38.54</v>
      </c>
    </row>
    <row r="14" spans="1:7" x14ac:dyDescent="0.25">
      <c r="A14" s="1" t="s">
        <v>18</v>
      </c>
      <c r="B14" s="1">
        <v>96.47</v>
      </c>
      <c r="C14" s="1">
        <v>120.08</v>
      </c>
      <c r="D14" s="1">
        <v>117.98</v>
      </c>
      <c r="E14" s="1">
        <v>79.61</v>
      </c>
      <c r="F14" s="1">
        <v>105.97</v>
      </c>
      <c r="G14" s="1">
        <v>103.46</v>
      </c>
    </row>
    <row r="15" spans="1:7" x14ac:dyDescent="0.25">
      <c r="A15" s="1" t="s">
        <v>19</v>
      </c>
      <c r="B15" s="1">
        <v>4</v>
      </c>
      <c r="C15" s="1">
        <v>3</v>
      </c>
      <c r="D15" s="1">
        <v>5</v>
      </c>
      <c r="E15" s="1">
        <v>5</v>
      </c>
      <c r="F15" s="1">
        <v>3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1053.46</v>
      </c>
      <c r="C17" s="1">
        <v>1254.1600000000001</v>
      </c>
      <c r="D17" s="1">
        <v>1279.31</v>
      </c>
      <c r="E17" s="1">
        <v>367.95</v>
      </c>
      <c r="F17" s="1">
        <v>462.55</v>
      </c>
      <c r="G17" s="1">
        <v>1406.64</v>
      </c>
    </row>
    <row r="18" spans="1:7" x14ac:dyDescent="0.25">
      <c r="A18" s="1" t="s">
        <v>22</v>
      </c>
      <c r="B18" s="1">
        <v>3.48</v>
      </c>
      <c r="C18" s="1">
        <v>0</v>
      </c>
      <c r="D18" s="1">
        <v>0</v>
      </c>
      <c r="E18" s="1">
        <v>154.19</v>
      </c>
      <c r="F18" s="1">
        <v>234.93</v>
      </c>
      <c r="G18" s="1">
        <v>3.87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4</v>
      </c>
      <c r="F19" s="1">
        <v>2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4.3</v>
      </c>
      <c r="F20" s="1">
        <v>5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5.7</v>
      </c>
      <c r="F21" s="1">
        <v>5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2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2.6</v>
      </c>
      <c r="F24" s="1">
        <v>3</v>
      </c>
      <c r="G24" s="1">
        <v>0</v>
      </c>
    </row>
    <row r="25" spans="1:7" x14ac:dyDescent="0.25">
      <c r="A25" s="1" t="s">
        <v>29</v>
      </c>
      <c r="B25" s="1">
        <v>1.9</v>
      </c>
      <c r="C25" s="1">
        <v>0</v>
      </c>
      <c r="D25" s="1">
        <v>0</v>
      </c>
      <c r="E25" s="1">
        <v>4.5</v>
      </c>
      <c r="F25" s="1">
        <v>3.1</v>
      </c>
      <c r="G25" s="1">
        <v>0</v>
      </c>
    </row>
    <row r="26" spans="1:7" x14ac:dyDescent="0.25">
      <c r="A26" s="1" t="s">
        <v>30</v>
      </c>
      <c r="B26" s="1">
        <v>8.1999999999999993</v>
      </c>
      <c r="C26" s="1">
        <v>10</v>
      </c>
      <c r="D26" s="1">
        <v>10</v>
      </c>
      <c r="E26" s="1">
        <v>2.9</v>
      </c>
      <c r="F26" s="1">
        <v>3.9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26</v>
      </c>
      <c r="F29" s="3">
        <f t="shared" si="1"/>
        <v>30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18.811881188118811</v>
      </c>
      <c r="C30" s="3">
        <f t="shared" ref="C30:G30" si="2">C25/C28*100</f>
        <v>0</v>
      </c>
      <c r="D30" s="3">
        <f t="shared" si="2"/>
        <v>0</v>
      </c>
      <c r="E30" s="3">
        <f t="shared" si="2"/>
        <v>45</v>
      </c>
      <c r="F30" s="3">
        <f t="shared" si="2"/>
        <v>31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81.188118811881182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28.999999999999996</v>
      </c>
      <c r="F31" s="3">
        <f t="shared" si="3"/>
        <v>39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101.5</v>
      </c>
      <c r="C33" s="3">
        <v>130.88</v>
      </c>
      <c r="D33" s="3">
        <v>131.35</v>
      </c>
      <c r="E33" s="3">
        <v>10.26</v>
      </c>
      <c r="F33" s="3">
        <v>6.77</v>
      </c>
      <c r="G33" s="3">
        <v>148.63999999999999</v>
      </c>
    </row>
    <row r="35" spans="1:7" x14ac:dyDescent="0.25">
      <c r="A35" s="3" t="s">
        <v>36</v>
      </c>
      <c r="B35" s="3"/>
      <c r="C35" s="3"/>
      <c r="D35" s="3">
        <f>D33-C33</f>
        <v>0.46999999999999886</v>
      </c>
      <c r="E35" s="3"/>
      <c r="F35" s="3">
        <f>F33-E33</f>
        <v>-3.49</v>
      </c>
      <c r="G35" s="3"/>
    </row>
    <row r="37" spans="1:7" x14ac:dyDescent="0.25">
      <c r="A37" s="3" t="s">
        <v>36</v>
      </c>
      <c r="B37" s="3"/>
      <c r="C37" s="3">
        <f>C33-B33</f>
        <v>29.379999999999995</v>
      </c>
      <c r="D37" s="3"/>
      <c r="E37" s="3">
        <f>E33-D33</f>
        <v>-121.08999999999999</v>
      </c>
      <c r="F37" s="3"/>
      <c r="G37" s="3">
        <f>G33-F33</f>
        <v>141.86999999999998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6D4E3-F408-461E-B1F6-B9CD7CD85AF3}">
  <dimension ref="A1:G37"/>
  <sheetViews>
    <sheetView tabSelected="1" workbookViewId="0">
      <selection activeCell="I21" sqref="I21:I122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>
        <f>C33-B33</f>
        <v>0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231017B001.1</vt:lpstr>
      <vt:lpstr>231017B001.2</vt:lpstr>
      <vt:lpstr>231017B001.3</vt:lpstr>
      <vt:lpstr>231017B002.1</vt:lpstr>
      <vt:lpstr>231017B002.2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2023-10-20T18:12:10Z</dcterms:created>
  <dcterms:modified xsi:type="dcterms:W3CDTF">2023-10-23T23:19:28Z</dcterms:modified>
</cp:coreProperties>
</file>