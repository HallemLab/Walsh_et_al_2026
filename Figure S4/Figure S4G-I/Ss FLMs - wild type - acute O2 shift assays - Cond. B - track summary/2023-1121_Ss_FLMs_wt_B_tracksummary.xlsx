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stercoralis\FLMs\2023-1121\WormLab Data\"/>
    </mc:Choice>
  </mc:AlternateContent>
  <xr:revisionPtr revIDLastSave="0" documentId="13_ncr:1_{DE4E7EFC-2752-4859-90CE-73CF50FB6876}" xr6:coauthVersionLast="36" xr6:coauthVersionMax="36" xr10:uidLastSave="{00000000-0000-0000-0000-000000000000}"/>
  <bookViews>
    <workbookView xWindow="0" yWindow="0" windowWidth="23016" windowHeight="8940" activeTab="3" xr2:uid="{191AA69F-B5BE-4ADA-9E9B-DB689510E092}"/>
  </bookViews>
  <sheets>
    <sheet name="231121B001.1" sheetId="2" r:id="rId1"/>
    <sheet name="231121B001.2" sheetId="3" r:id="rId2"/>
    <sheet name="231121B002.1" sheetId="4" r:id="rId3"/>
    <sheet name="template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4" l="1"/>
  <c r="E37" i="4"/>
  <c r="C37" i="4"/>
  <c r="F35" i="4"/>
  <c r="D35" i="4"/>
  <c r="C31" i="4"/>
  <c r="B31" i="4"/>
  <c r="F30" i="4"/>
  <c r="E30" i="4"/>
  <c r="D30" i="4"/>
  <c r="C30" i="4"/>
  <c r="B30" i="4"/>
  <c r="F29" i="4"/>
  <c r="E29" i="4"/>
  <c r="D29" i="4"/>
  <c r="B29" i="4"/>
  <c r="G28" i="4"/>
  <c r="G31" i="4" s="1"/>
  <c r="F28" i="4"/>
  <c r="F31" i="4" s="1"/>
  <c r="E28" i="4"/>
  <c r="E31" i="4" s="1"/>
  <c r="D28" i="4"/>
  <c r="D31" i="4" s="1"/>
  <c r="C28" i="4"/>
  <c r="C29" i="4" s="1"/>
  <c r="B28" i="4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E31" i="2"/>
  <c r="B31" i="2"/>
  <c r="G30" i="2"/>
  <c r="F30" i="2"/>
  <c r="E30" i="2"/>
  <c r="D30" i="2"/>
  <c r="C30" i="2"/>
  <c r="B30" i="2"/>
  <c r="G29" i="2"/>
  <c r="F29" i="2"/>
  <c r="E29" i="2"/>
  <c r="G28" i="2"/>
  <c r="F28" i="2"/>
  <c r="F31" i="2" s="1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G28" i="1"/>
  <c r="G31" i="1" s="1"/>
  <c r="F28" i="1"/>
  <c r="F29" i="1" s="1"/>
  <c r="E28" i="1"/>
  <c r="E29" i="1" s="1"/>
  <c r="D28" i="1"/>
  <c r="D29" i="1" s="1"/>
  <c r="C28" i="1"/>
  <c r="C29" i="1" s="1"/>
  <c r="B28" i="1"/>
  <c r="B29" i="1" s="1"/>
  <c r="G30" i="4" l="1"/>
  <c r="G29" i="4"/>
  <c r="C30" i="1"/>
  <c r="D30" i="1"/>
  <c r="F30" i="1"/>
  <c r="C31" i="1"/>
  <c r="D31" i="1"/>
  <c r="B30" i="1"/>
  <c r="E30" i="1"/>
  <c r="B31" i="1"/>
  <c r="E31" i="1"/>
  <c r="D31" i="2"/>
  <c r="C31" i="2"/>
  <c r="G29" i="1"/>
  <c r="G30" i="1"/>
  <c r="F31" i="1"/>
</calcChain>
</file>

<file path=xl/sharedStrings.xml><?xml version="1.0" encoding="utf-8"?>
<sst xmlns="http://schemas.openxmlformats.org/spreadsheetml/2006/main" count="152" uniqueCount="37">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</sst>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368C-1CBD-4216-B0A5-B140963AC1F9}">
  <dimension ref="A1:G37"/>
  <sheetViews>
    <sheetView topLeftCell="A16" workbookViewId="0">
      <selection activeCell="M25" sqref="M25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610.19000000000005</v>
      </c>
      <c r="C2" s="1">
        <v>605.30999999999995</v>
      </c>
      <c r="D2" s="1">
        <v>590.79</v>
      </c>
      <c r="E2" s="1">
        <v>568.27</v>
      </c>
      <c r="F2" s="1">
        <v>540.47</v>
      </c>
      <c r="G2" s="1">
        <v>597.6</v>
      </c>
    </row>
    <row r="3" spans="1:7" x14ac:dyDescent="0.3">
      <c r="A3" s="1" t="s">
        <v>7</v>
      </c>
      <c r="B3" s="1">
        <v>47.95</v>
      </c>
      <c r="C3" s="1">
        <v>45.12</v>
      </c>
      <c r="D3" s="1">
        <v>44.67</v>
      </c>
      <c r="E3" s="1">
        <v>46.11</v>
      </c>
      <c r="F3" s="1">
        <v>47.41</v>
      </c>
      <c r="G3" s="1">
        <v>45.34</v>
      </c>
    </row>
    <row r="4" spans="1:7" x14ac:dyDescent="0.3">
      <c r="A4" s="1" t="s">
        <v>8</v>
      </c>
      <c r="B4" s="1">
        <v>29684.83</v>
      </c>
      <c r="C4" s="1">
        <v>27741.64</v>
      </c>
      <c r="D4" s="1">
        <v>26768.58</v>
      </c>
      <c r="E4" s="1">
        <v>26575.119999999999</v>
      </c>
      <c r="F4" s="1">
        <v>26081.7</v>
      </c>
      <c r="G4" s="1">
        <v>27527.279999999999</v>
      </c>
    </row>
    <row r="5" spans="1:7" x14ac:dyDescent="0.3">
      <c r="A5" s="1" t="s">
        <v>9</v>
      </c>
      <c r="B5" s="1">
        <v>1282.03</v>
      </c>
      <c r="C5" s="1">
        <v>1339.68</v>
      </c>
      <c r="D5" s="1">
        <v>1014.04</v>
      </c>
      <c r="E5" s="1">
        <v>1126.77</v>
      </c>
      <c r="F5" s="1">
        <v>653.45000000000005</v>
      </c>
      <c r="G5" s="1">
        <v>1204.81</v>
      </c>
    </row>
    <row r="6" spans="1:7" x14ac:dyDescent="0.3">
      <c r="A6" s="3" t="s">
        <v>10</v>
      </c>
      <c r="B6" s="3">
        <v>128.19999999999999</v>
      </c>
      <c r="C6" s="3">
        <v>135.32</v>
      </c>
      <c r="D6" s="3">
        <v>102.43</v>
      </c>
      <c r="E6" s="3">
        <v>113.82</v>
      </c>
      <c r="F6" s="3">
        <v>66.010000000000005</v>
      </c>
      <c r="G6" s="3">
        <v>122.94</v>
      </c>
    </row>
    <row r="7" spans="1:7" x14ac:dyDescent="0.3">
      <c r="A7" s="1" t="s">
        <v>11</v>
      </c>
      <c r="B7" s="1">
        <v>900.27</v>
      </c>
      <c r="C7" s="1">
        <v>877.56</v>
      </c>
      <c r="D7" s="1">
        <v>622.34</v>
      </c>
      <c r="E7" s="1">
        <v>750.73</v>
      </c>
      <c r="F7" s="1">
        <v>509.38</v>
      </c>
      <c r="G7" s="1">
        <v>827.28</v>
      </c>
    </row>
    <row r="8" spans="1:7" x14ac:dyDescent="0.3">
      <c r="A8" s="1" t="s">
        <v>12</v>
      </c>
      <c r="B8" s="1">
        <v>90.03</v>
      </c>
      <c r="C8" s="1">
        <v>88.64</v>
      </c>
      <c r="D8" s="1">
        <v>62.86</v>
      </c>
      <c r="E8" s="1">
        <v>75.83</v>
      </c>
      <c r="F8" s="1">
        <v>51.45</v>
      </c>
      <c r="G8" s="1">
        <v>84.42</v>
      </c>
    </row>
    <row r="9" spans="1:7" x14ac:dyDescent="0.3">
      <c r="A9" s="1" t="s">
        <v>13</v>
      </c>
      <c r="B9" s="1">
        <v>819.49</v>
      </c>
      <c r="C9" s="1">
        <v>857.49</v>
      </c>
      <c r="D9" s="1">
        <v>446.25</v>
      </c>
      <c r="E9" s="1">
        <v>657.27</v>
      </c>
      <c r="F9" s="1">
        <v>-248.71</v>
      </c>
      <c r="G9" s="1">
        <v>639.13</v>
      </c>
    </row>
    <row r="10" spans="1:7" x14ac:dyDescent="0.3">
      <c r="A10" s="1" t="s">
        <v>14</v>
      </c>
      <c r="B10" s="1">
        <v>81.95</v>
      </c>
      <c r="C10" s="1">
        <v>86.62</v>
      </c>
      <c r="D10" s="1">
        <v>45.08</v>
      </c>
      <c r="E10" s="1">
        <v>66.39</v>
      </c>
      <c r="F10" s="1">
        <v>-25.12</v>
      </c>
      <c r="G10" s="1">
        <v>65.22</v>
      </c>
    </row>
    <row r="11" spans="1:7" x14ac:dyDescent="0.3">
      <c r="A11" s="1" t="s">
        <v>15</v>
      </c>
      <c r="B11" s="1">
        <v>153.54</v>
      </c>
      <c r="C11" s="1">
        <v>299.14999999999998</v>
      </c>
      <c r="D11" s="1">
        <v>91.35</v>
      </c>
      <c r="E11" s="1">
        <v>175.14</v>
      </c>
      <c r="F11" s="1">
        <v>88.16</v>
      </c>
      <c r="G11" s="1">
        <v>123.56</v>
      </c>
    </row>
    <row r="12" spans="1:7" x14ac:dyDescent="0.3">
      <c r="A12" s="1" t="s">
        <v>16</v>
      </c>
      <c r="B12" s="1">
        <v>326.83999999999997</v>
      </c>
      <c r="C12" s="1">
        <v>302.60000000000002</v>
      </c>
      <c r="D12" s="1">
        <v>333.5</v>
      </c>
      <c r="E12" s="1">
        <v>299.35000000000002</v>
      </c>
      <c r="F12" s="1">
        <v>208.22</v>
      </c>
      <c r="G12" s="1">
        <v>324.04000000000002</v>
      </c>
    </row>
    <row r="13" spans="1:7" x14ac:dyDescent="0.3">
      <c r="A13" s="1" t="s">
        <v>17</v>
      </c>
      <c r="B13" s="1">
        <v>54.04</v>
      </c>
      <c r="C13" s="1">
        <v>44.66</v>
      </c>
      <c r="D13" s="1">
        <v>38.549999999999997</v>
      </c>
      <c r="E13" s="1">
        <v>48.26</v>
      </c>
      <c r="F13" s="1">
        <v>61.25</v>
      </c>
      <c r="G13" s="1">
        <v>40.28</v>
      </c>
    </row>
    <row r="14" spans="1:7" x14ac:dyDescent="0.3">
      <c r="A14" s="1" t="s">
        <v>18</v>
      </c>
      <c r="B14" s="1">
        <v>113.9</v>
      </c>
      <c r="C14" s="1">
        <v>102.33</v>
      </c>
      <c r="D14" s="1">
        <v>87.48</v>
      </c>
      <c r="E14" s="1">
        <v>89.79</v>
      </c>
      <c r="F14" s="1">
        <v>109.29</v>
      </c>
      <c r="G14" s="1">
        <v>88.6</v>
      </c>
    </row>
    <row r="15" spans="1:7" x14ac:dyDescent="0.3">
      <c r="A15" s="1" t="s">
        <v>19</v>
      </c>
      <c r="B15" s="1">
        <v>6</v>
      </c>
      <c r="C15" s="1">
        <v>5</v>
      </c>
      <c r="D15" s="1">
        <v>3</v>
      </c>
      <c r="E15" s="1">
        <v>7</v>
      </c>
      <c r="F15" s="1">
        <v>2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859.88</v>
      </c>
      <c r="C17" s="1">
        <v>867.52</v>
      </c>
      <c r="D17" s="1">
        <v>534.29</v>
      </c>
      <c r="E17" s="1">
        <v>704</v>
      </c>
      <c r="F17" s="1">
        <v>130.33000000000001</v>
      </c>
      <c r="G17" s="1">
        <v>733.2</v>
      </c>
    </row>
    <row r="18" spans="1:7" x14ac:dyDescent="0.3">
      <c r="A18" s="1" t="s">
        <v>22</v>
      </c>
      <c r="B18" s="1">
        <v>40.39</v>
      </c>
      <c r="C18" s="1">
        <v>10.029999999999999</v>
      </c>
      <c r="D18" s="1">
        <v>88.04</v>
      </c>
      <c r="E18" s="1">
        <v>46.73</v>
      </c>
      <c r="F18" s="1">
        <v>379.05</v>
      </c>
      <c r="G18" s="1">
        <v>94.07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3.3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1</v>
      </c>
      <c r="F24" s="1">
        <v>3.7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3.5</v>
      </c>
      <c r="E25" s="1">
        <v>0</v>
      </c>
      <c r="F25" s="1">
        <v>4.5</v>
      </c>
      <c r="G25" s="1">
        <v>3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6.5</v>
      </c>
      <c r="E26" s="1">
        <v>9</v>
      </c>
      <c r="F26" s="1">
        <v>1.8</v>
      </c>
      <c r="G26" s="1">
        <v>6.9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10</v>
      </c>
      <c r="F29" s="3">
        <f t="shared" si="1"/>
        <v>37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35</v>
      </c>
      <c r="E30" s="3">
        <f t="shared" si="2"/>
        <v>0</v>
      </c>
      <c r="F30" s="3">
        <f t="shared" si="2"/>
        <v>45</v>
      </c>
      <c r="G30" s="3">
        <f t="shared" si="2"/>
        <v>30.303030303030305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65</v>
      </c>
      <c r="E31" s="3">
        <f t="shared" si="3"/>
        <v>90</v>
      </c>
      <c r="F31" s="3">
        <f t="shared" si="3"/>
        <v>18</v>
      </c>
      <c r="G31" s="3">
        <f t="shared" si="3"/>
        <v>69.696969696969703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104.52</v>
      </c>
      <c r="C33" s="3">
        <v>121.26</v>
      </c>
      <c r="D33" s="3">
        <v>68.31</v>
      </c>
      <c r="E33" s="3">
        <v>89.65</v>
      </c>
      <c r="F33" s="3">
        <v>-7.43</v>
      </c>
      <c r="G33" s="3">
        <v>76.36</v>
      </c>
    </row>
    <row r="35" spans="1:7" x14ac:dyDescent="0.3">
      <c r="A35" s="3" t="s">
        <v>36</v>
      </c>
      <c r="B35" s="3"/>
      <c r="C35" s="3"/>
      <c r="D35" s="3">
        <f>D33-C33</f>
        <v>-52.95</v>
      </c>
      <c r="E35" s="3"/>
      <c r="F35" s="3">
        <f>F33-E33</f>
        <v>-97.080000000000013</v>
      </c>
      <c r="G35" s="3"/>
    </row>
    <row r="37" spans="1:7" x14ac:dyDescent="0.3">
      <c r="A37" s="3" t="s">
        <v>36</v>
      </c>
      <c r="B37" s="3"/>
      <c r="C37" s="3">
        <f>C33-B33</f>
        <v>16.740000000000009</v>
      </c>
      <c r="D37" s="3"/>
      <c r="E37" s="3">
        <f>E33-D33</f>
        <v>21.340000000000003</v>
      </c>
      <c r="F37" s="3"/>
      <c r="G37" s="3">
        <f>G33-F33</f>
        <v>83.789999999999992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C5C8-E317-45EF-A4BA-DF6BFA10518C}">
  <dimension ref="A1:G37"/>
  <sheetViews>
    <sheetView topLeftCell="A16" workbookViewId="0">
      <selection activeCell="A43" sqref="A4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654.32000000000005</v>
      </c>
      <c r="C2" s="1">
        <v>640.16999999999996</v>
      </c>
      <c r="D2" s="1">
        <v>651.76</v>
      </c>
      <c r="E2" s="1">
        <v>650.6</v>
      </c>
      <c r="F2" s="1">
        <v>553.66999999999996</v>
      </c>
      <c r="G2" s="1">
        <v>626.35</v>
      </c>
    </row>
    <row r="3" spans="1:7" x14ac:dyDescent="0.3">
      <c r="A3" s="1" t="s">
        <v>7</v>
      </c>
      <c r="B3" s="1">
        <v>59.76</v>
      </c>
      <c r="C3" s="1">
        <v>57.54</v>
      </c>
      <c r="D3" s="1">
        <v>57.6</v>
      </c>
      <c r="E3" s="1">
        <v>56.34</v>
      </c>
      <c r="F3" s="1">
        <v>63.06</v>
      </c>
      <c r="G3" s="1">
        <v>53.92</v>
      </c>
    </row>
    <row r="4" spans="1:7" x14ac:dyDescent="0.3">
      <c r="A4" s="1" t="s">
        <v>8</v>
      </c>
      <c r="B4" s="1">
        <v>39757.42</v>
      </c>
      <c r="C4" s="1">
        <v>37470.86</v>
      </c>
      <c r="D4" s="1">
        <v>38192.839999999997</v>
      </c>
      <c r="E4" s="1">
        <v>37281.1</v>
      </c>
      <c r="F4" s="1">
        <v>35330.129999999997</v>
      </c>
      <c r="G4" s="1">
        <v>34348.15</v>
      </c>
    </row>
    <row r="5" spans="1:7" x14ac:dyDescent="0.3">
      <c r="A5" s="1" t="s">
        <v>9</v>
      </c>
      <c r="B5" s="1">
        <v>1038.18</v>
      </c>
      <c r="C5" s="1">
        <v>968.09</v>
      </c>
      <c r="D5" s="1">
        <v>910.3</v>
      </c>
      <c r="E5" s="1">
        <v>830.46</v>
      </c>
      <c r="F5" s="1">
        <v>554.04</v>
      </c>
      <c r="G5" s="1">
        <v>950.5</v>
      </c>
    </row>
    <row r="6" spans="1:7" x14ac:dyDescent="0.3">
      <c r="A6" s="3" t="s">
        <v>10</v>
      </c>
      <c r="B6" s="3">
        <v>103.82</v>
      </c>
      <c r="C6" s="3">
        <v>97.79</v>
      </c>
      <c r="D6" s="3">
        <v>91.95</v>
      </c>
      <c r="E6" s="3">
        <v>83.88</v>
      </c>
      <c r="F6" s="3">
        <v>55.96</v>
      </c>
      <c r="G6" s="3">
        <v>96.99</v>
      </c>
    </row>
    <row r="7" spans="1:7" x14ac:dyDescent="0.3">
      <c r="A7" s="1" t="s">
        <v>11</v>
      </c>
      <c r="B7" s="1">
        <v>784.28</v>
      </c>
      <c r="C7" s="1">
        <v>773.24</v>
      </c>
      <c r="D7" s="1">
        <v>656.02</v>
      </c>
      <c r="E7" s="1">
        <v>553.63</v>
      </c>
      <c r="F7" s="1">
        <v>470.87</v>
      </c>
      <c r="G7" s="1">
        <v>700.18</v>
      </c>
    </row>
    <row r="8" spans="1:7" x14ac:dyDescent="0.3">
      <c r="A8" s="1" t="s">
        <v>12</v>
      </c>
      <c r="B8" s="1">
        <v>78.430000000000007</v>
      </c>
      <c r="C8" s="1">
        <v>78.099999999999994</v>
      </c>
      <c r="D8" s="1">
        <v>66.260000000000005</v>
      </c>
      <c r="E8" s="1">
        <v>55.92</v>
      </c>
      <c r="F8" s="1">
        <v>47.56</v>
      </c>
      <c r="G8" s="1">
        <v>71.45</v>
      </c>
    </row>
    <row r="9" spans="1:7" x14ac:dyDescent="0.3">
      <c r="A9" s="1" t="s">
        <v>13</v>
      </c>
      <c r="B9" s="1">
        <v>689.27</v>
      </c>
      <c r="C9" s="1">
        <v>769.93</v>
      </c>
      <c r="D9" s="1">
        <v>655.32000000000005</v>
      </c>
      <c r="E9" s="1">
        <v>551.74</v>
      </c>
      <c r="F9" s="1">
        <v>-289.13</v>
      </c>
      <c r="G9" s="1">
        <v>699.86</v>
      </c>
    </row>
    <row r="10" spans="1:7" x14ac:dyDescent="0.3">
      <c r="A10" s="1" t="s">
        <v>14</v>
      </c>
      <c r="B10" s="1">
        <v>68.930000000000007</v>
      </c>
      <c r="C10" s="1">
        <v>77.77</v>
      </c>
      <c r="D10" s="1">
        <v>66.19</v>
      </c>
      <c r="E10" s="1">
        <v>55.73</v>
      </c>
      <c r="F10" s="1">
        <v>-29.2</v>
      </c>
      <c r="G10" s="1">
        <v>71.41</v>
      </c>
    </row>
    <row r="11" spans="1:7" x14ac:dyDescent="0.3">
      <c r="A11" s="1" t="s">
        <v>15</v>
      </c>
      <c r="B11" s="1">
        <v>227.52</v>
      </c>
      <c r="C11" s="1">
        <v>199.77</v>
      </c>
      <c r="D11" s="1">
        <v>205.19</v>
      </c>
      <c r="E11" s="1">
        <v>139.18</v>
      </c>
      <c r="F11" s="1">
        <v>162.82</v>
      </c>
      <c r="G11" s="1">
        <v>187.37</v>
      </c>
    </row>
    <row r="12" spans="1:7" x14ac:dyDescent="0.3">
      <c r="A12" s="1" t="s">
        <v>16</v>
      </c>
      <c r="B12" s="1">
        <v>319.26</v>
      </c>
      <c r="C12" s="1">
        <v>304.26</v>
      </c>
      <c r="D12" s="1">
        <v>300.79000000000002</v>
      </c>
      <c r="E12" s="1">
        <v>301.92</v>
      </c>
      <c r="F12" s="1">
        <v>239.4</v>
      </c>
      <c r="G12" s="1">
        <v>317.91000000000003</v>
      </c>
    </row>
    <row r="13" spans="1:7" x14ac:dyDescent="0.3">
      <c r="A13" s="1" t="s">
        <v>17</v>
      </c>
      <c r="B13" s="1">
        <v>46.81</v>
      </c>
      <c r="C13" s="1">
        <v>59.99</v>
      </c>
      <c r="D13" s="1">
        <v>48.96</v>
      </c>
      <c r="E13" s="1">
        <v>39.64</v>
      </c>
      <c r="F13" s="1">
        <v>31.61</v>
      </c>
      <c r="G13" s="1">
        <v>45.06</v>
      </c>
    </row>
    <row r="14" spans="1:7" x14ac:dyDescent="0.3">
      <c r="A14" s="1" t="s">
        <v>18</v>
      </c>
      <c r="B14" s="1">
        <v>99.15</v>
      </c>
      <c r="C14" s="1">
        <v>110.87</v>
      </c>
      <c r="D14" s="1">
        <v>102.42</v>
      </c>
      <c r="E14" s="1">
        <v>79.569999999999993</v>
      </c>
      <c r="F14" s="1">
        <v>87.36</v>
      </c>
      <c r="G14" s="1">
        <v>92.47</v>
      </c>
    </row>
    <row r="15" spans="1:7" x14ac:dyDescent="0.3">
      <c r="A15" s="1" t="s">
        <v>19</v>
      </c>
      <c r="B15" s="1">
        <v>6</v>
      </c>
      <c r="C15" s="1">
        <v>5</v>
      </c>
      <c r="D15" s="1">
        <v>3</v>
      </c>
      <c r="E15" s="1">
        <v>6</v>
      </c>
      <c r="F15" s="1">
        <v>6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736.78</v>
      </c>
      <c r="C17" s="1">
        <v>771.58</v>
      </c>
      <c r="D17" s="1">
        <v>655.67</v>
      </c>
      <c r="E17" s="1">
        <v>552.69000000000005</v>
      </c>
      <c r="F17" s="1">
        <v>90.87</v>
      </c>
      <c r="G17" s="1">
        <v>700.02</v>
      </c>
    </row>
    <row r="18" spans="1:7" x14ac:dyDescent="0.3">
      <c r="A18" s="1" t="s">
        <v>22</v>
      </c>
      <c r="B18" s="1">
        <v>47.5</v>
      </c>
      <c r="C18" s="1">
        <v>1.65</v>
      </c>
      <c r="D18" s="1">
        <v>0.35</v>
      </c>
      <c r="E18" s="1">
        <v>0.95</v>
      </c>
      <c r="F18" s="1">
        <v>380</v>
      </c>
      <c r="G18" s="1">
        <v>0.16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7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3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5.5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</v>
      </c>
      <c r="F25" s="1">
        <v>4.5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9</v>
      </c>
      <c r="F26" s="1">
        <v>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55.000000000000007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</v>
      </c>
      <c r="F30" s="3">
        <f t="shared" si="2"/>
        <v>45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90</v>
      </c>
      <c r="F31" s="3">
        <f t="shared" si="3"/>
        <v>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88.56</v>
      </c>
      <c r="C33" s="3">
        <v>94.39</v>
      </c>
      <c r="D33" s="3">
        <v>89.33</v>
      </c>
      <c r="E33" s="3">
        <v>81.17</v>
      </c>
      <c r="F33" s="3">
        <v>-26.69</v>
      </c>
      <c r="G33" s="3">
        <v>94.72</v>
      </c>
    </row>
    <row r="35" spans="1:7" x14ac:dyDescent="0.3">
      <c r="A35" s="3" t="s">
        <v>36</v>
      </c>
      <c r="B35" s="3"/>
      <c r="C35" s="3"/>
      <c r="D35" s="3">
        <f>D33-C33</f>
        <v>-5.0600000000000023</v>
      </c>
      <c r="E35" s="3"/>
      <c r="F35" s="3">
        <f>F33-E33</f>
        <v>-107.86</v>
      </c>
      <c r="G35" s="3"/>
    </row>
    <row r="37" spans="1:7" x14ac:dyDescent="0.3">
      <c r="A37" s="3" t="s">
        <v>36</v>
      </c>
      <c r="B37" s="3"/>
      <c r="C37" s="3">
        <f>C33-B33</f>
        <v>5.8299999999999983</v>
      </c>
      <c r="D37" s="3"/>
      <c r="E37" s="3">
        <f>E33-D33</f>
        <v>-8.1599999999999966</v>
      </c>
      <c r="F37" s="3"/>
      <c r="G37" s="3">
        <f>G33-F33</f>
        <v>121.41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E8ED-161B-406A-A1B1-3C0C366E430C}">
  <dimension ref="A1:G37"/>
  <sheetViews>
    <sheetView topLeftCell="A10" workbookViewId="0">
      <selection activeCell="K24" sqref="K2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595.84</v>
      </c>
      <c r="C2" s="1">
        <v>597.66</v>
      </c>
      <c r="D2" s="1">
        <v>590.57000000000005</v>
      </c>
      <c r="E2" s="1">
        <v>593.64</v>
      </c>
      <c r="F2" s="1">
        <v>515.19000000000005</v>
      </c>
      <c r="G2" s="1">
        <v>605.85</v>
      </c>
    </row>
    <row r="3" spans="1:7" x14ac:dyDescent="0.3">
      <c r="A3" s="1" t="s">
        <v>7</v>
      </c>
      <c r="B3" s="1">
        <v>52.2</v>
      </c>
      <c r="C3" s="1">
        <v>50.4</v>
      </c>
      <c r="D3" s="1">
        <v>50.76</v>
      </c>
      <c r="E3" s="1">
        <v>49.89</v>
      </c>
      <c r="F3" s="1">
        <v>53.3</v>
      </c>
      <c r="G3" s="1">
        <v>51.14</v>
      </c>
    </row>
    <row r="4" spans="1:7" x14ac:dyDescent="0.3">
      <c r="A4" s="1" t="s">
        <v>8</v>
      </c>
      <c r="B4" s="1">
        <v>31611.51</v>
      </c>
      <c r="C4" s="1">
        <v>30625.35</v>
      </c>
      <c r="D4" s="1">
        <v>30461.52</v>
      </c>
      <c r="E4" s="1">
        <v>30114.43</v>
      </c>
      <c r="F4" s="1">
        <v>27692.57</v>
      </c>
      <c r="G4" s="1">
        <v>31508.79</v>
      </c>
    </row>
    <row r="5" spans="1:7" x14ac:dyDescent="0.3">
      <c r="A5" s="1" t="s">
        <v>9</v>
      </c>
      <c r="B5" s="1">
        <v>1108.25</v>
      </c>
      <c r="C5" s="1">
        <v>1038.25</v>
      </c>
      <c r="D5" s="1">
        <v>989.13</v>
      </c>
      <c r="E5" s="1">
        <v>682.52</v>
      </c>
      <c r="F5" s="1">
        <v>404.93</v>
      </c>
      <c r="G5" s="1">
        <v>965.38</v>
      </c>
    </row>
    <row r="6" spans="1:7" x14ac:dyDescent="0.3">
      <c r="A6" s="3" t="s">
        <v>10</v>
      </c>
      <c r="B6" s="3">
        <v>110.83</v>
      </c>
      <c r="C6" s="3">
        <v>104.87</v>
      </c>
      <c r="D6" s="3">
        <v>99.91</v>
      </c>
      <c r="E6" s="3">
        <v>68.94</v>
      </c>
      <c r="F6" s="3">
        <v>40.9</v>
      </c>
      <c r="G6" s="3">
        <v>98.51</v>
      </c>
    </row>
    <row r="7" spans="1:7" x14ac:dyDescent="0.3">
      <c r="A7" s="1" t="s">
        <v>11</v>
      </c>
      <c r="B7" s="1">
        <v>1096.0999999999999</v>
      </c>
      <c r="C7" s="1">
        <v>1030.4000000000001</v>
      </c>
      <c r="D7" s="1">
        <v>977.54</v>
      </c>
      <c r="E7" s="1">
        <v>667.19</v>
      </c>
      <c r="F7" s="1">
        <v>389.52</v>
      </c>
      <c r="G7" s="1">
        <v>954.69</v>
      </c>
    </row>
    <row r="8" spans="1:7" x14ac:dyDescent="0.3">
      <c r="A8" s="1" t="s">
        <v>12</v>
      </c>
      <c r="B8" s="1">
        <v>109.61</v>
      </c>
      <c r="C8" s="1">
        <v>104.08</v>
      </c>
      <c r="D8" s="1">
        <v>98.74</v>
      </c>
      <c r="E8" s="1">
        <v>67.39</v>
      </c>
      <c r="F8" s="1">
        <v>39.35</v>
      </c>
      <c r="G8" s="1">
        <v>97.42</v>
      </c>
    </row>
    <row r="9" spans="1:7" x14ac:dyDescent="0.3">
      <c r="A9" s="1" t="s">
        <v>13</v>
      </c>
      <c r="B9" s="1">
        <v>1089.4000000000001</v>
      </c>
      <c r="C9" s="1">
        <v>1030.4000000000001</v>
      </c>
      <c r="D9" s="1">
        <v>977.54</v>
      </c>
      <c r="E9" s="1">
        <v>666.45</v>
      </c>
      <c r="F9" s="1">
        <v>174.37</v>
      </c>
      <c r="G9" s="1">
        <v>954.69</v>
      </c>
    </row>
    <row r="10" spans="1:7" x14ac:dyDescent="0.3">
      <c r="A10" s="1" t="s">
        <v>14</v>
      </c>
      <c r="B10" s="1">
        <v>108.94</v>
      </c>
      <c r="C10" s="1">
        <v>104.08</v>
      </c>
      <c r="D10" s="1">
        <v>98.74</v>
      </c>
      <c r="E10" s="1">
        <v>67.319999999999993</v>
      </c>
      <c r="F10" s="1">
        <v>17.61</v>
      </c>
      <c r="G10" s="1">
        <v>97.42</v>
      </c>
    </row>
    <row r="11" spans="1:7" x14ac:dyDescent="0.3">
      <c r="A11" s="1" t="s">
        <v>15</v>
      </c>
      <c r="B11" s="1">
        <v>813.66</v>
      </c>
      <c r="C11" s="1">
        <v>735.32</v>
      </c>
      <c r="D11" s="1">
        <v>581.83000000000004</v>
      </c>
      <c r="E11" s="1">
        <v>430.82</v>
      </c>
      <c r="F11" s="1">
        <v>98.6</v>
      </c>
      <c r="G11" s="1">
        <v>699.99</v>
      </c>
    </row>
    <row r="12" spans="1:7" x14ac:dyDescent="0.3">
      <c r="A12" s="1" t="s">
        <v>16</v>
      </c>
      <c r="B12" s="1">
        <v>285.39999999999998</v>
      </c>
      <c r="C12" s="1">
        <v>338.53</v>
      </c>
      <c r="D12" s="1">
        <v>295.51</v>
      </c>
      <c r="E12" s="1">
        <v>276.93</v>
      </c>
      <c r="F12" s="1">
        <v>264.49</v>
      </c>
      <c r="G12" s="1">
        <v>306.82</v>
      </c>
    </row>
    <row r="13" spans="1:7" x14ac:dyDescent="0.3">
      <c r="A13" s="1" t="s">
        <v>17</v>
      </c>
      <c r="B13" s="1">
        <v>47.98</v>
      </c>
      <c r="C13" s="1">
        <v>49.72</v>
      </c>
      <c r="D13" s="1">
        <v>53.64</v>
      </c>
      <c r="E13" s="1">
        <v>48.14</v>
      </c>
      <c r="F13" s="1">
        <v>26.19</v>
      </c>
      <c r="G13" s="1">
        <v>44.95</v>
      </c>
    </row>
    <row r="14" spans="1:7" x14ac:dyDescent="0.3">
      <c r="A14" s="1" t="s">
        <v>18</v>
      </c>
      <c r="B14" s="1">
        <v>94.61</v>
      </c>
      <c r="C14" s="1">
        <v>89.24</v>
      </c>
      <c r="D14" s="1">
        <v>118.84</v>
      </c>
      <c r="E14" s="1">
        <v>107.79</v>
      </c>
      <c r="F14" s="1">
        <v>87.69</v>
      </c>
      <c r="G14" s="1">
        <v>87.66</v>
      </c>
    </row>
    <row r="15" spans="1:7" x14ac:dyDescent="0.3">
      <c r="A15" s="1" t="s">
        <v>19</v>
      </c>
      <c r="B15" s="1">
        <v>6</v>
      </c>
      <c r="C15" s="1">
        <v>6</v>
      </c>
      <c r="D15" s="1">
        <v>4</v>
      </c>
      <c r="E15" s="1">
        <v>3</v>
      </c>
      <c r="F15" s="1">
        <v>2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1092.75</v>
      </c>
      <c r="C17" s="1">
        <v>1030.4000000000001</v>
      </c>
      <c r="D17" s="1">
        <v>977.54</v>
      </c>
      <c r="E17" s="1">
        <v>666.82</v>
      </c>
      <c r="F17" s="1">
        <v>281.94</v>
      </c>
      <c r="G17" s="1">
        <v>954.69</v>
      </c>
    </row>
    <row r="18" spans="1:7" x14ac:dyDescent="0.3">
      <c r="A18" s="1" t="s">
        <v>22</v>
      </c>
      <c r="B18" s="1">
        <v>3.35</v>
      </c>
      <c r="C18" s="1">
        <v>0</v>
      </c>
      <c r="D18" s="1">
        <v>0</v>
      </c>
      <c r="E18" s="1">
        <v>0.37</v>
      </c>
      <c r="F18" s="1">
        <v>107.58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2.6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7.4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7.3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2.7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73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27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109.03</v>
      </c>
      <c r="C33" s="3">
        <v>106</v>
      </c>
      <c r="D33" s="3">
        <v>98.28</v>
      </c>
      <c r="E33" s="3">
        <v>67.64</v>
      </c>
      <c r="F33" s="3">
        <v>11.38</v>
      </c>
      <c r="G33" s="3">
        <v>98.22</v>
      </c>
    </row>
    <row r="35" spans="1:7" x14ac:dyDescent="0.3">
      <c r="A35" s="3" t="s">
        <v>36</v>
      </c>
      <c r="B35" s="3"/>
      <c r="C35" s="3"/>
      <c r="D35" s="3">
        <f>D33-C33</f>
        <v>-7.7199999999999989</v>
      </c>
      <c r="E35" s="3"/>
      <c r="F35" s="3">
        <f>F33-E33</f>
        <v>-56.26</v>
      </c>
      <c r="G35" s="3"/>
    </row>
    <row r="37" spans="1:7" x14ac:dyDescent="0.3">
      <c r="A37" s="3" t="s">
        <v>36</v>
      </c>
      <c r="B37" s="3"/>
      <c r="C37" s="3">
        <f>C33-B33</f>
        <v>-3.0300000000000011</v>
      </c>
      <c r="D37" s="3"/>
      <c r="E37" s="3">
        <f>E33-D33</f>
        <v>-30.64</v>
      </c>
      <c r="F37" s="3"/>
      <c r="G37" s="3">
        <f>G33-F33</f>
        <v>86.84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B34E-1C4A-46F2-AC65-9E691878044E}">
  <dimension ref="A1:G37"/>
  <sheetViews>
    <sheetView tabSelected="1" topLeftCell="A13" workbookViewId="0">
      <selection activeCell="A13" sqref="A1:XFD104857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231121B001.1</vt:lpstr>
      <vt:lpstr>231121B001.2</vt:lpstr>
      <vt:lpstr>231121B002.1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2023-11-30T01:42:32Z</dcterms:created>
  <dcterms:modified xsi:type="dcterms:W3CDTF">2023-12-05T00:59:58Z</dcterms:modified>
</cp:coreProperties>
</file>