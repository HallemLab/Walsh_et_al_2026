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S. stercoralis\FLMs\2024-0105\WormLab Data\"/>
    </mc:Choice>
  </mc:AlternateContent>
  <xr:revisionPtr revIDLastSave="0" documentId="13_ncr:1_{F3787D44-35C0-49D6-A163-6A3EA98B31CA}" xr6:coauthVersionLast="36" xr6:coauthVersionMax="36" xr10:uidLastSave="{00000000-0000-0000-0000-000000000000}"/>
  <bookViews>
    <workbookView xWindow="0" yWindow="0" windowWidth="22110" windowHeight="10740" activeTab="5" xr2:uid="{F7EF34E2-DE1E-4FFB-B71C-CCB0867152F3}"/>
  </bookViews>
  <sheets>
    <sheet name="240105B001.2" sheetId="2" r:id="rId1"/>
    <sheet name="240105B001.3" sheetId="3" r:id="rId2"/>
    <sheet name="240105B002.1" sheetId="4" r:id="rId3"/>
    <sheet name="240105B002.2" sheetId="5" r:id="rId4"/>
    <sheet name="240105B002.3" sheetId="6" r:id="rId5"/>
    <sheet name="template" sheetId="1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6" l="1"/>
  <c r="E37" i="6"/>
  <c r="C37" i="6"/>
  <c r="F35" i="6"/>
  <c r="D35" i="6"/>
  <c r="E31" i="6"/>
  <c r="B31" i="6"/>
  <c r="E30" i="6"/>
  <c r="D30" i="6"/>
  <c r="C30" i="6"/>
  <c r="B30" i="6"/>
  <c r="E29" i="6"/>
  <c r="D29" i="6"/>
  <c r="C29" i="6"/>
  <c r="G28" i="6"/>
  <c r="G31" i="6" s="1"/>
  <c r="F28" i="6"/>
  <c r="F31" i="6" s="1"/>
  <c r="E28" i="6"/>
  <c r="D28" i="6"/>
  <c r="D31" i="6" s="1"/>
  <c r="C28" i="6"/>
  <c r="C31" i="6" s="1"/>
  <c r="B28" i="6"/>
  <c r="B29" i="6" s="1"/>
  <c r="G37" i="5"/>
  <c r="E37" i="5"/>
  <c r="C37" i="5"/>
  <c r="F35" i="5"/>
  <c r="D35" i="5"/>
  <c r="G28" i="5"/>
  <c r="G30" i="5" s="1"/>
  <c r="F28" i="5"/>
  <c r="F30" i="5" s="1"/>
  <c r="E28" i="5"/>
  <c r="E30" i="5" s="1"/>
  <c r="D28" i="5"/>
  <c r="D29" i="5" s="1"/>
  <c r="C28" i="5"/>
  <c r="C29" i="5" s="1"/>
  <c r="B28" i="5"/>
  <c r="B31" i="5" s="1"/>
  <c r="G37" i="4"/>
  <c r="E37" i="4"/>
  <c r="C37" i="4"/>
  <c r="F35" i="4"/>
  <c r="D35" i="4"/>
  <c r="G31" i="4"/>
  <c r="F31" i="4"/>
  <c r="E31" i="4"/>
  <c r="B31" i="4"/>
  <c r="G30" i="4"/>
  <c r="F30" i="4"/>
  <c r="E30" i="4"/>
  <c r="D30" i="4"/>
  <c r="C30" i="4"/>
  <c r="B30" i="4"/>
  <c r="G29" i="4"/>
  <c r="F29" i="4"/>
  <c r="E29" i="4"/>
  <c r="D29" i="4"/>
  <c r="C29" i="4"/>
  <c r="G28" i="4"/>
  <c r="F28" i="4"/>
  <c r="E28" i="4"/>
  <c r="D28" i="4"/>
  <c r="D31" i="4" s="1"/>
  <c r="C28" i="4"/>
  <c r="C31" i="4" s="1"/>
  <c r="B28" i="4"/>
  <c r="B29" i="4" s="1"/>
  <c r="G37" i="3"/>
  <c r="E37" i="3"/>
  <c r="C37" i="3"/>
  <c r="F35" i="3"/>
  <c r="D35" i="3"/>
  <c r="F31" i="3"/>
  <c r="E31" i="3"/>
  <c r="D31" i="3"/>
  <c r="C31" i="3"/>
  <c r="B31" i="3"/>
  <c r="F30" i="3"/>
  <c r="E30" i="3"/>
  <c r="D30" i="3"/>
  <c r="C30" i="3"/>
  <c r="B30" i="3"/>
  <c r="F29" i="3"/>
  <c r="E29" i="3"/>
  <c r="G28" i="3"/>
  <c r="G31" i="3" s="1"/>
  <c r="F28" i="3"/>
  <c r="E28" i="3"/>
  <c r="D28" i="3"/>
  <c r="D29" i="3" s="1"/>
  <c r="C28" i="3"/>
  <c r="C29" i="3" s="1"/>
  <c r="B28" i="3"/>
  <c r="B29" i="3" s="1"/>
  <c r="G37" i="2"/>
  <c r="E37" i="2"/>
  <c r="C37" i="2"/>
  <c r="F35" i="2"/>
  <c r="D35" i="2"/>
  <c r="E31" i="2"/>
  <c r="C31" i="2"/>
  <c r="G30" i="2"/>
  <c r="E30" i="2"/>
  <c r="D30" i="2"/>
  <c r="C30" i="2"/>
  <c r="B30" i="2"/>
  <c r="E29" i="2"/>
  <c r="G28" i="2"/>
  <c r="G29" i="2" s="1"/>
  <c r="F28" i="2"/>
  <c r="F31" i="2" s="1"/>
  <c r="E28" i="2"/>
  <c r="D28" i="2"/>
  <c r="D29" i="2" s="1"/>
  <c r="C28" i="2"/>
  <c r="C29" i="2" s="1"/>
  <c r="B28" i="2"/>
  <c r="B31" i="2" s="1"/>
  <c r="G37" i="1"/>
  <c r="E37" i="1"/>
  <c r="C37" i="1"/>
  <c r="F35" i="1"/>
  <c r="D35" i="1"/>
  <c r="C31" i="1"/>
  <c r="B31" i="1"/>
  <c r="G28" i="1"/>
  <c r="G31" i="1" s="1"/>
  <c r="F28" i="1"/>
  <c r="F31" i="1" s="1"/>
  <c r="E28" i="1"/>
  <c r="E29" i="1" s="1"/>
  <c r="D28" i="1"/>
  <c r="D29" i="1" s="1"/>
  <c r="C28" i="1"/>
  <c r="C29" i="1" s="1"/>
  <c r="B28" i="1"/>
  <c r="B29" i="1" s="1"/>
  <c r="G29" i="6" l="1"/>
  <c r="F29" i="6"/>
  <c r="G30" i="6"/>
  <c r="F30" i="6"/>
  <c r="E31" i="5"/>
  <c r="B29" i="5"/>
  <c r="B30" i="5"/>
  <c r="G31" i="5"/>
  <c r="E29" i="5"/>
  <c r="F31" i="5"/>
  <c r="F29" i="5"/>
  <c r="C30" i="5"/>
  <c r="G29" i="5"/>
  <c r="D30" i="5"/>
  <c r="C31" i="5"/>
  <c r="D31" i="5"/>
  <c r="G29" i="3"/>
  <c r="G30" i="3"/>
  <c r="G31" i="2"/>
  <c r="F29" i="2"/>
  <c r="F30" i="2"/>
  <c r="D31" i="2"/>
  <c r="B29" i="2"/>
  <c r="F29" i="1"/>
  <c r="D31" i="1"/>
  <c r="E31" i="1"/>
  <c r="G29" i="1"/>
  <c r="B30" i="1"/>
  <c r="C30" i="1"/>
  <c r="E30" i="1"/>
  <c r="D30" i="1"/>
  <c r="F30" i="1"/>
  <c r="G30" i="1"/>
</calcChain>
</file>

<file path=xl/sharedStrings.xml><?xml version="1.0" encoding="utf-8"?>
<sst xmlns="http://schemas.openxmlformats.org/spreadsheetml/2006/main" count="228" uniqueCount="37">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</sst>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B1F3C-B443-4DF0-8206-105798185D7C}">
  <dimension ref="A1:G37"/>
  <sheetViews>
    <sheetView topLeftCell="A10" workbookViewId="0">
      <selection activeCell="A39" sqref="A39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624.25</v>
      </c>
      <c r="C2" s="1">
        <v>632.02</v>
      </c>
      <c r="D2" s="1">
        <v>630.05999999999995</v>
      </c>
      <c r="E2" s="1">
        <v>547.21</v>
      </c>
      <c r="F2" s="1">
        <v>487.89</v>
      </c>
      <c r="G2" s="1">
        <v>645.72</v>
      </c>
    </row>
    <row r="3" spans="1:7" x14ac:dyDescent="0.25">
      <c r="A3" s="1" t="s">
        <v>7</v>
      </c>
      <c r="B3" s="1">
        <v>56.82</v>
      </c>
      <c r="C3" s="1">
        <v>57.72</v>
      </c>
      <c r="D3" s="1">
        <v>58.49</v>
      </c>
      <c r="E3" s="1">
        <v>60.94</v>
      </c>
      <c r="F3" s="1">
        <v>62.59</v>
      </c>
      <c r="G3" s="1">
        <v>57.52</v>
      </c>
    </row>
    <row r="4" spans="1:7" x14ac:dyDescent="0.25">
      <c r="A4" s="1" t="s">
        <v>8</v>
      </c>
      <c r="B4" s="1">
        <v>36069.760000000002</v>
      </c>
      <c r="C4" s="1">
        <v>37116.35</v>
      </c>
      <c r="D4" s="1">
        <v>37490.07</v>
      </c>
      <c r="E4" s="1">
        <v>33748.65</v>
      </c>
      <c r="F4" s="1">
        <v>31053.11</v>
      </c>
      <c r="G4" s="1">
        <v>37749.82</v>
      </c>
    </row>
    <row r="5" spans="1:7" x14ac:dyDescent="0.25">
      <c r="A5" s="1" t="s">
        <v>9</v>
      </c>
      <c r="B5" s="1">
        <v>1207.3900000000001</v>
      </c>
      <c r="C5" s="1">
        <v>1359.06</v>
      </c>
      <c r="D5" s="1">
        <v>858.27</v>
      </c>
      <c r="E5" s="1">
        <v>610.86</v>
      </c>
      <c r="F5" s="1">
        <v>662.53</v>
      </c>
      <c r="G5" s="1">
        <v>1373.7</v>
      </c>
    </row>
    <row r="6" spans="1:7" x14ac:dyDescent="0.25">
      <c r="A6" s="3" t="s">
        <v>10</v>
      </c>
      <c r="B6" s="3">
        <v>120.74</v>
      </c>
      <c r="C6" s="3">
        <v>137.28</v>
      </c>
      <c r="D6" s="3">
        <v>86.69</v>
      </c>
      <c r="E6" s="3">
        <v>61.7</v>
      </c>
      <c r="F6" s="3">
        <v>66.92</v>
      </c>
      <c r="G6" s="3">
        <v>140.16999999999999</v>
      </c>
    </row>
    <row r="7" spans="1:7" x14ac:dyDescent="0.25">
      <c r="A7" s="1" t="s">
        <v>11</v>
      </c>
      <c r="B7" s="1">
        <v>1195.79</v>
      </c>
      <c r="C7" s="1">
        <v>1331.49</v>
      </c>
      <c r="D7" s="1">
        <v>833.14</v>
      </c>
      <c r="E7" s="1">
        <v>582.11</v>
      </c>
      <c r="F7" s="1">
        <v>545.26</v>
      </c>
      <c r="G7" s="1">
        <v>1326.87</v>
      </c>
    </row>
    <row r="8" spans="1:7" x14ac:dyDescent="0.25">
      <c r="A8" s="1" t="s">
        <v>12</v>
      </c>
      <c r="B8" s="1">
        <v>119.58</v>
      </c>
      <c r="C8" s="1">
        <v>134.49</v>
      </c>
      <c r="D8" s="1">
        <v>84.16</v>
      </c>
      <c r="E8" s="1">
        <v>58.8</v>
      </c>
      <c r="F8" s="1">
        <v>55.08</v>
      </c>
      <c r="G8" s="1">
        <v>135.38999999999999</v>
      </c>
    </row>
    <row r="9" spans="1:7" x14ac:dyDescent="0.25">
      <c r="A9" s="1" t="s">
        <v>13</v>
      </c>
      <c r="B9" s="1">
        <v>1195.79</v>
      </c>
      <c r="C9" s="1">
        <v>1331.49</v>
      </c>
      <c r="D9" s="1">
        <v>827.14</v>
      </c>
      <c r="E9" s="1">
        <v>-434.07</v>
      </c>
      <c r="F9" s="1">
        <v>395.41</v>
      </c>
      <c r="G9" s="1">
        <v>1326.87</v>
      </c>
    </row>
    <row r="10" spans="1:7" x14ac:dyDescent="0.25">
      <c r="A10" s="1" t="s">
        <v>14</v>
      </c>
      <c r="B10" s="1">
        <v>119.58</v>
      </c>
      <c r="C10" s="1">
        <v>134.49</v>
      </c>
      <c r="D10" s="1">
        <v>83.55</v>
      </c>
      <c r="E10" s="1">
        <v>-43.85</v>
      </c>
      <c r="F10" s="1">
        <v>39.94</v>
      </c>
      <c r="G10" s="1">
        <v>135.38999999999999</v>
      </c>
    </row>
    <row r="11" spans="1:7" x14ac:dyDescent="0.25">
      <c r="A11" s="1" t="s">
        <v>15</v>
      </c>
      <c r="B11" s="1">
        <v>816.4</v>
      </c>
      <c r="C11" s="1">
        <v>801.97</v>
      </c>
      <c r="D11" s="1">
        <v>615.77</v>
      </c>
      <c r="E11" s="1">
        <v>215.56</v>
      </c>
      <c r="F11" s="1">
        <v>210.12</v>
      </c>
      <c r="G11" s="1">
        <v>1044.8800000000001</v>
      </c>
    </row>
    <row r="12" spans="1:7" x14ac:dyDescent="0.25">
      <c r="A12" s="1" t="s">
        <v>16</v>
      </c>
      <c r="B12" s="1">
        <v>360.17</v>
      </c>
      <c r="C12" s="1">
        <v>363.96</v>
      </c>
      <c r="D12" s="1">
        <v>302.08999999999997</v>
      </c>
      <c r="E12" s="1">
        <v>236.69</v>
      </c>
      <c r="F12" s="1">
        <v>183.6</v>
      </c>
      <c r="G12" s="1">
        <v>346.36</v>
      </c>
    </row>
    <row r="13" spans="1:7" x14ac:dyDescent="0.25">
      <c r="A13" s="1" t="s">
        <v>17</v>
      </c>
      <c r="B13" s="1">
        <v>52.03</v>
      </c>
      <c r="C13" s="1">
        <v>58.97</v>
      </c>
      <c r="D13" s="1">
        <v>50.08</v>
      </c>
      <c r="E13" s="1">
        <v>42.05</v>
      </c>
      <c r="F13" s="1">
        <v>53.88</v>
      </c>
      <c r="G13" s="1">
        <v>42.46</v>
      </c>
    </row>
    <row r="14" spans="1:7" x14ac:dyDescent="0.25">
      <c r="A14" s="1" t="s">
        <v>18</v>
      </c>
      <c r="B14" s="1">
        <v>106.23</v>
      </c>
      <c r="C14" s="1">
        <v>119.55</v>
      </c>
      <c r="D14" s="1">
        <v>89.95</v>
      </c>
      <c r="E14" s="1">
        <v>93.91</v>
      </c>
      <c r="F14" s="1">
        <v>105.59</v>
      </c>
      <c r="G14" s="1">
        <v>101.72</v>
      </c>
    </row>
    <row r="15" spans="1:7" x14ac:dyDescent="0.25">
      <c r="A15" s="1" t="s">
        <v>19</v>
      </c>
      <c r="B15" s="1">
        <v>5</v>
      </c>
      <c r="C15" s="1">
        <v>4</v>
      </c>
      <c r="D15" s="1">
        <v>4</v>
      </c>
      <c r="E15" s="1">
        <v>2</v>
      </c>
      <c r="F15" s="1">
        <v>4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1195.79</v>
      </c>
      <c r="C17" s="1">
        <v>1331.49</v>
      </c>
      <c r="D17" s="1">
        <v>830.14</v>
      </c>
      <c r="E17" s="1">
        <v>74.02</v>
      </c>
      <c r="F17" s="1">
        <v>470.34</v>
      </c>
      <c r="G17" s="1">
        <v>1326.87</v>
      </c>
    </row>
    <row r="18" spans="1:7" x14ac:dyDescent="0.25">
      <c r="A18" s="1" t="s">
        <v>22</v>
      </c>
      <c r="B18" s="1">
        <v>0</v>
      </c>
      <c r="C18" s="1">
        <v>0</v>
      </c>
      <c r="D18" s="1">
        <v>3</v>
      </c>
      <c r="E18" s="1">
        <v>508.09</v>
      </c>
      <c r="F18" s="1">
        <v>74.930000000000007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1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6.1</v>
      </c>
      <c r="F20" s="1">
        <v>1.4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3.9</v>
      </c>
      <c r="F21" s="1">
        <v>8.6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1.7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6.5</v>
      </c>
      <c r="F24" s="1">
        <v>1.2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3.5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0</v>
      </c>
      <c r="F26" s="1">
        <v>8.8000000000000007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65</v>
      </c>
      <c r="F29" s="3">
        <f t="shared" si="1"/>
        <v>12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35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0</v>
      </c>
      <c r="F31" s="3">
        <f t="shared" si="3"/>
        <v>88.000000000000014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118.75</v>
      </c>
      <c r="C33" s="3">
        <v>135.88</v>
      </c>
      <c r="D33" s="3">
        <v>85.79</v>
      </c>
      <c r="E33" s="3">
        <v>-39.04</v>
      </c>
      <c r="F33" s="3">
        <v>47.13</v>
      </c>
      <c r="G33" s="3">
        <v>141.29</v>
      </c>
    </row>
    <row r="35" spans="1:7" x14ac:dyDescent="0.25">
      <c r="A35" s="3" t="s">
        <v>36</v>
      </c>
      <c r="B35" s="3"/>
      <c r="C35" s="3"/>
      <c r="D35" s="3">
        <f>D33-C33</f>
        <v>-50.089999999999989</v>
      </c>
      <c r="E35" s="3"/>
      <c r="F35" s="3">
        <f>F33-E33</f>
        <v>86.17</v>
      </c>
      <c r="G35" s="3"/>
    </row>
    <row r="37" spans="1:7" x14ac:dyDescent="0.25">
      <c r="A37" s="3" t="s">
        <v>36</v>
      </c>
      <c r="B37" s="3"/>
      <c r="C37" s="3">
        <f>C33-B33</f>
        <v>17.129999999999995</v>
      </c>
      <c r="D37" s="3"/>
      <c r="E37" s="3">
        <f>E33-D33</f>
        <v>-124.83000000000001</v>
      </c>
      <c r="F37" s="3"/>
      <c r="G37" s="3">
        <f>G33-F33</f>
        <v>94.16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D9873-76D7-45EF-811C-4296D53022F2}">
  <dimension ref="A1:G37"/>
  <sheetViews>
    <sheetView topLeftCell="A10" workbookViewId="0">
      <selection activeCell="J12" sqref="J12:J19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703.3</v>
      </c>
      <c r="C2" s="1">
        <v>697.55</v>
      </c>
      <c r="D2" s="1">
        <v>709.06</v>
      </c>
      <c r="E2" s="1">
        <v>708.86</v>
      </c>
      <c r="F2" s="1">
        <v>695.66</v>
      </c>
      <c r="G2" s="1">
        <v>712.14</v>
      </c>
    </row>
    <row r="3" spans="1:7" x14ac:dyDescent="0.25">
      <c r="A3" s="1" t="s">
        <v>7</v>
      </c>
      <c r="B3" s="1">
        <v>63.61</v>
      </c>
      <c r="C3" s="1">
        <v>63.53</v>
      </c>
      <c r="D3" s="1">
        <v>64.16</v>
      </c>
      <c r="E3" s="1">
        <v>60.08</v>
      </c>
      <c r="F3" s="1">
        <v>60.48</v>
      </c>
      <c r="G3" s="1">
        <v>60.44</v>
      </c>
    </row>
    <row r="4" spans="1:7" x14ac:dyDescent="0.25">
      <c r="A4" s="1" t="s">
        <v>8</v>
      </c>
      <c r="B4" s="1">
        <v>45481.75</v>
      </c>
      <c r="C4" s="1">
        <v>45066.42</v>
      </c>
      <c r="D4" s="1">
        <v>46242.18</v>
      </c>
      <c r="E4" s="1">
        <v>43326.71</v>
      </c>
      <c r="F4" s="1">
        <v>42793.37</v>
      </c>
      <c r="G4" s="1">
        <v>43782.37</v>
      </c>
    </row>
    <row r="5" spans="1:7" x14ac:dyDescent="0.25">
      <c r="A5" s="1" t="s">
        <v>9</v>
      </c>
      <c r="B5" s="1">
        <v>683.88</v>
      </c>
      <c r="C5" s="1">
        <v>639.16999999999996</v>
      </c>
      <c r="D5" s="1">
        <v>647.03</v>
      </c>
      <c r="E5" s="1">
        <v>638.66999999999996</v>
      </c>
      <c r="F5" s="1">
        <v>336.4</v>
      </c>
      <c r="G5" s="1">
        <v>691.38</v>
      </c>
    </row>
    <row r="6" spans="1:7" x14ac:dyDescent="0.25">
      <c r="A6" s="3" t="s">
        <v>10</v>
      </c>
      <c r="B6" s="3">
        <v>68.39</v>
      </c>
      <c r="C6" s="3">
        <v>64.56</v>
      </c>
      <c r="D6" s="3">
        <v>65.36</v>
      </c>
      <c r="E6" s="3">
        <v>64.510000000000005</v>
      </c>
      <c r="F6" s="3">
        <v>33.979999999999997</v>
      </c>
      <c r="G6" s="3">
        <v>70.55</v>
      </c>
    </row>
    <row r="7" spans="1:7" x14ac:dyDescent="0.25">
      <c r="A7" s="1" t="s">
        <v>11</v>
      </c>
      <c r="B7" s="1">
        <v>580.29999999999995</v>
      </c>
      <c r="C7" s="1">
        <v>506.37</v>
      </c>
      <c r="D7" s="1">
        <v>543.11</v>
      </c>
      <c r="E7" s="1">
        <v>554.67999999999995</v>
      </c>
      <c r="F7" s="1">
        <v>248.56</v>
      </c>
      <c r="G7" s="1">
        <v>573.49</v>
      </c>
    </row>
    <row r="8" spans="1:7" x14ac:dyDescent="0.25">
      <c r="A8" s="1" t="s">
        <v>12</v>
      </c>
      <c r="B8" s="1">
        <v>58.03</v>
      </c>
      <c r="C8" s="1">
        <v>51.15</v>
      </c>
      <c r="D8" s="1">
        <v>54.86</v>
      </c>
      <c r="E8" s="1">
        <v>56.03</v>
      </c>
      <c r="F8" s="1">
        <v>25.11</v>
      </c>
      <c r="G8" s="1">
        <v>58.52</v>
      </c>
    </row>
    <row r="9" spans="1:7" x14ac:dyDescent="0.25">
      <c r="A9" s="1" t="s">
        <v>13</v>
      </c>
      <c r="B9" s="1">
        <v>576.25</v>
      </c>
      <c r="C9" s="1">
        <v>499.12</v>
      </c>
      <c r="D9" s="1">
        <v>541.29</v>
      </c>
      <c r="E9" s="1">
        <v>549.84</v>
      </c>
      <c r="F9" s="1">
        <v>139.66</v>
      </c>
      <c r="G9" s="1">
        <v>573.49</v>
      </c>
    </row>
    <row r="10" spans="1:7" x14ac:dyDescent="0.25">
      <c r="A10" s="1" t="s">
        <v>14</v>
      </c>
      <c r="B10" s="1">
        <v>57.63</v>
      </c>
      <c r="C10" s="1">
        <v>50.42</v>
      </c>
      <c r="D10" s="1">
        <v>54.68</v>
      </c>
      <c r="E10" s="1">
        <v>55.54</v>
      </c>
      <c r="F10" s="1">
        <v>14.11</v>
      </c>
      <c r="G10" s="1">
        <v>58.52</v>
      </c>
    </row>
    <row r="11" spans="1:7" x14ac:dyDescent="0.25">
      <c r="A11" s="1" t="s">
        <v>15</v>
      </c>
      <c r="B11" s="1">
        <v>338.06</v>
      </c>
      <c r="C11" s="1">
        <v>291.52999999999997</v>
      </c>
      <c r="D11" s="1">
        <v>300.54000000000002</v>
      </c>
      <c r="E11" s="1">
        <v>300.02</v>
      </c>
      <c r="F11" s="1">
        <v>73.39</v>
      </c>
      <c r="G11" s="1">
        <v>321.12</v>
      </c>
    </row>
    <row r="12" spans="1:7" x14ac:dyDescent="0.25">
      <c r="A12" s="1" t="s">
        <v>16</v>
      </c>
      <c r="B12" s="1">
        <v>383.63</v>
      </c>
      <c r="C12" s="1">
        <v>343.03</v>
      </c>
      <c r="D12" s="1">
        <v>368.8</v>
      </c>
      <c r="E12" s="1">
        <v>334.06</v>
      </c>
      <c r="F12" s="1">
        <v>347.02</v>
      </c>
      <c r="G12" s="1">
        <v>426.75</v>
      </c>
    </row>
    <row r="13" spans="1:7" x14ac:dyDescent="0.25">
      <c r="A13" s="1" t="s">
        <v>17</v>
      </c>
      <c r="B13" s="1">
        <v>53.36</v>
      </c>
      <c r="C13" s="1">
        <v>44.79</v>
      </c>
      <c r="D13" s="1">
        <v>40</v>
      </c>
      <c r="E13" s="1">
        <v>41.74</v>
      </c>
      <c r="F13" s="1">
        <v>25.71</v>
      </c>
      <c r="G13" s="1">
        <v>44.2</v>
      </c>
    </row>
    <row r="14" spans="1:7" x14ac:dyDescent="0.25">
      <c r="A14" s="1" t="s">
        <v>18</v>
      </c>
      <c r="B14" s="1">
        <v>85.21</v>
      </c>
      <c r="C14" s="1">
        <v>99.69</v>
      </c>
      <c r="D14" s="1">
        <v>75.569999999999993</v>
      </c>
      <c r="E14" s="1">
        <v>84.88</v>
      </c>
      <c r="F14" s="1">
        <v>47.1</v>
      </c>
      <c r="G14" s="1">
        <v>88.06</v>
      </c>
    </row>
    <row r="15" spans="1:7" x14ac:dyDescent="0.25">
      <c r="A15" s="1" t="s">
        <v>19</v>
      </c>
      <c r="B15" s="1">
        <v>5</v>
      </c>
      <c r="C15" s="1">
        <v>3</v>
      </c>
      <c r="D15" s="1">
        <v>3</v>
      </c>
      <c r="E15" s="1">
        <v>3</v>
      </c>
      <c r="F15" s="1">
        <v>0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578.28</v>
      </c>
      <c r="C17" s="1">
        <v>502.75</v>
      </c>
      <c r="D17" s="1">
        <v>542.20000000000005</v>
      </c>
      <c r="E17" s="1">
        <v>552.26</v>
      </c>
      <c r="F17" s="1">
        <v>194.11</v>
      </c>
      <c r="G17" s="1">
        <v>573.49</v>
      </c>
    </row>
    <row r="18" spans="1:7" x14ac:dyDescent="0.25">
      <c r="A18" s="1" t="s">
        <v>22</v>
      </c>
      <c r="B18" s="1">
        <v>2.0299999999999998</v>
      </c>
      <c r="C18" s="1">
        <v>3.63</v>
      </c>
      <c r="D18" s="1">
        <v>0.91</v>
      </c>
      <c r="E18" s="1">
        <v>2.42</v>
      </c>
      <c r="F18" s="1">
        <v>54.45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2.4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7.6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7.4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2.6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74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26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66.42</v>
      </c>
      <c r="C33" s="3">
        <v>62.8</v>
      </c>
      <c r="D33" s="3">
        <v>65.59</v>
      </c>
      <c r="E33" s="3">
        <v>64.27</v>
      </c>
      <c r="F33" s="3">
        <v>15.51</v>
      </c>
      <c r="G33" s="3">
        <v>70.69</v>
      </c>
    </row>
    <row r="35" spans="1:7" x14ac:dyDescent="0.25">
      <c r="A35" s="3" t="s">
        <v>36</v>
      </c>
      <c r="B35" s="3"/>
      <c r="C35" s="3"/>
      <c r="D35" s="3">
        <f>D33-C33</f>
        <v>2.7900000000000063</v>
      </c>
      <c r="E35" s="3"/>
      <c r="F35" s="3">
        <f>F33-E33</f>
        <v>-48.76</v>
      </c>
      <c r="G35" s="3"/>
    </row>
    <row r="37" spans="1:7" x14ac:dyDescent="0.25">
      <c r="A37" s="3" t="s">
        <v>36</v>
      </c>
      <c r="B37" s="3"/>
      <c r="C37" s="3">
        <f>C33-B33</f>
        <v>-3.6200000000000045</v>
      </c>
      <c r="D37" s="3"/>
      <c r="E37" s="3">
        <f>E33-D33</f>
        <v>-1.3200000000000074</v>
      </c>
      <c r="F37" s="3"/>
      <c r="G37" s="3">
        <f>G33-F33</f>
        <v>55.18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F1B97-36E3-4DC7-8ED1-39DC38E586CF}">
  <dimension ref="A1:G37"/>
  <sheetViews>
    <sheetView topLeftCell="A7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638.54</v>
      </c>
      <c r="C2" s="1">
        <v>637.09</v>
      </c>
      <c r="D2" s="1">
        <v>554.34</v>
      </c>
      <c r="E2" s="1">
        <v>643.79999999999995</v>
      </c>
      <c r="F2" s="1">
        <v>620.54</v>
      </c>
      <c r="G2" s="1">
        <v>642.28</v>
      </c>
    </row>
    <row r="3" spans="1:7" x14ac:dyDescent="0.25">
      <c r="A3" s="1" t="s">
        <v>7</v>
      </c>
      <c r="B3" s="1">
        <v>54.75</v>
      </c>
      <c r="C3" s="1">
        <v>56.05</v>
      </c>
      <c r="D3" s="1">
        <v>57.33</v>
      </c>
      <c r="E3" s="1">
        <v>52.3</v>
      </c>
      <c r="F3" s="1">
        <v>55</v>
      </c>
      <c r="G3" s="1">
        <v>50.2</v>
      </c>
    </row>
    <row r="4" spans="1:7" x14ac:dyDescent="0.25">
      <c r="A4" s="1" t="s">
        <v>8</v>
      </c>
      <c r="B4" s="1">
        <v>35526.769999999997</v>
      </c>
      <c r="C4" s="1">
        <v>36294.660000000003</v>
      </c>
      <c r="D4" s="1">
        <v>32202.94</v>
      </c>
      <c r="E4" s="1">
        <v>34242.559999999998</v>
      </c>
      <c r="F4" s="1">
        <v>34701.15</v>
      </c>
      <c r="G4" s="1">
        <v>32746.61</v>
      </c>
    </row>
    <row r="5" spans="1:7" x14ac:dyDescent="0.25">
      <c r="A5" s="1" t="s">
        <v>9</v>
      </c>
      <c r="B5" s="1">
        <v>804.6</v>
      </c>
      <c r="C5" s="1">
        <v>671.92</v>
      </c>
      <c r="D5" s="1">
        <v>559.15</v>
      </c>
      <c r="E5" s="1">
        <v>418.86</v>
      </c>
      <c r="F5" s="1">
        <v>320.73</v>
      </c>
      <c r="G5" s="1">
        <v>618.51</v>
      </c>
    </row>
    <row r="6" spans="1:7" x14ac:dyDescent="0.25">
      <c r="A6" s="3" t="s">
        <v>10</v>
      </c>
      <c r="B6" s="3">
        <v>80.459999999999994</v>
      </c>
      <c r="C6" s="3">
        <v>67.87</v>
      </c>
      <c r="D6" s="3">
        <v>56.48</v>
      </c>
      <c r="E6" s="3">
        <v>42.31</v>
      </c>
      <c r="F6" s="3">
        <v>32.4</v>
      </c>
      <c r="G6" s="3">
        <v>63.11</v>
      </c>
    </row>
    <row r="7" spans="1:7" x14ac:dyDescent="0.25">
      <c r="A7" s="1" t="s">
        <v>11</v>
      </c>
      <c r="B7" s="1">
        <v>794.79</v>
      </c>
      <c r="C7" s="1">
        <v>655.82</v>
      </c>
      <c r="D7" s="1">
        <v>475.66</v>
      </c>
      <c r="E7" s="1">
        <v>401.19</v>
      </c>
      <c r="F7" s="1">
        <v>291.52</v>
      </c>
      <c r="G7" s="1">
        <v>592.75</v>
      </c>
    </row>
    <row r="8" spans="1:7" x14ac:dyDescent="0.25">
      <c r="A8" s="1" t="s">
        <v>12</v>
      </c>
      <c r="B8" s="1">
        <v>79.48</v>
      </c>
      <c r="C8" s="1">
        <v>66.239999999999995</v>
      </c>
      <c r="D8" s="1">
        <v>48.05</v>
      </c>
      <c r="E8" s="1">
        <v>40.520000000000003</v>
      </c>
      <c r="F8" s="1">
        <v>29.45</v>
      </c>
      <c r="G8" s="1">
        <v>60.49</v>
      </c>
    </row>
    <row r="9" spans="1:7" x14ac:dyDescent="0.25">
      <c r="A9" s="1" t="s">
        <v>13</v>
      </c>
      <c r="B9" s="1">
        <v>794.79</v>
      </c>
      <c r="C9" s="1">
        <v>655.82</v>
      </c>
      <c r="D9" s="1">
        <v>250.12</v>
      </c>
      <c r="E9" s="1">
        <v>385.71</v>
      </c>
      <c r="F9" s="1">
        <v>116.88</v>
      </c>
      <c r="G9" s="1">
        <v>545.13</v>
      </c>
    </row>
    <row r="10" spans="1:7" x14ac:dyDescent="0.25">
      <c r="A10" s="1" t="s">
        <v>14</v>
      </c>
      <c r="B10" s="1">
        <v>79.48</v>
      </c>
      <c r="C10" s="1">
        <v>66.239999999999995</v>
      </c>
      <c r="D10" s="1">
        <v>25.26</v>
      </c>
      <c r="E10" s="1">
        <v>38.96</v>
      </c>
      <c r="F10" s="1">
        <v>11.81</v>
      </c>
      <c r="G10" s="1">
        <v>55.63</v>
      </c>
    </row>
    <row r="11" spans="1:7" x14ac:dyDescent="0.25">
      <c r="A11" s="1" t="s">
        <v>15</v>
      </c>
      <c r="B11" s="1">
        <v>536.79999999999995</v>
      </c>
      <c r="C11" s="1">
        <v>530.62</v>
      </c>
      <c r="D11" s="1">
        <v>158.54</v>
      </c>
      <c r="E11" s="1">
        <v>289.11</v>
      </c>
      <c r="F11" s="1">
        <v>19.399999999999999</v>
      </c>
      <c r="G11" s="1">
        <v>481.77</v>
      </c>
    </row>
    <row r="12" spans="1:7" x14ac:dyDescent="0.25">
      <c r="A12" s="1" t="s">
        <v>16</v>
      </c>
      <c r="B12" s="1">
        <v>294.33</v>
      </c>
      <c r="C12" s="1">
        <v>285.94</v>
      </c>
      <c r="D12" s="1">
        <v>222.47</v>
      </c>
      <c r="E12" s="1">
        <v>334.29</v>
      </c>
      <c r="F12" s="1">
        <v>295.19</v>
      </c>
      <c r="G12" s="1">
        <v>354.15</v>
      </c>
    </row>
    <row r="13" spans="1:7" x14ac:dyDescent="0.25">
      <c r="A13" s="1" t="s">
        <v>17</v>
      </c>
      <c r="B13" s="1">
        <v>49.75</v>
      </c>
      <c r="C13" s="1">
        <v>43.58</v>
      </c>
      <c r="D13" s="1">
        <v>44.89</v>
      </c>
      <c r="E13" s="1">
        <v>37.22</v>
      </c>
      <c r="F13" s="1">
        <v>32.479999999999997</v>
      </c>
      <c r="G13" s="1">
        <v>22.19</v>
      </c>
    </row>
    <row r="14" spans="1:7" x14ac:dyDescent="0.25">
      <c r="A14" s="1" t="s">
        <v>18</v>
      </c>
      <c r="B14" s="1">
        <v>95.46</v>
      </c>
      <c r="C14" s="1">
        <v>89.14</v>
      </c>
      <c r="D14" s="1">
        <v>89.24</v>
      </c>
      <c r="E14" s="1">
        <v>75.52</v>
      </c>
      <c r="F14" s="1">
        <v>52.74</v>
      </c>
      <c r="G14" s="1">
        <v>54.86</v>
      </c>
    </row>
    <row r="15" spans="1:7" x14ac:dyDescent="0.25">
      <c r="A15" s="1" t="s">
        <v>19</v>
      </c>
      <c r="B15" s="1">
        <v>5</v>
      </c>
      <c r="C15" s="1">
        <v>3</v>
      </c>
      <c r="D15" s="1">
        <v>4</v>
      </c>
      <c r="E15" s="1">
        <v>1</v>
      </c>
      <c r="F15" s="1">
        <v>2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794.79</v>
      </c>
      <c r="C17" s="1">
        <v>655.82</v>
      </c>
      <c r="D17" s="1">
        <v>362.89</v>
      </c>
      <c r="E17" s="1">
        <v>393.45</v>
      </c>
      <c r="F17" s="1">
        <v>204.2</v>
      </c>
      <c r="G17" s="1">
        <v>568.94000000000005</v>
      </c>
    </row>
    <row r="18" spans="1:7" x14ac:dyDescent="0.25">
      <c r="A18" s="1" t="s">
        <v>22</v>
      </c>
      <c r="B18" s="1">
        <v>0</v>
      </c>
      <c r="C18" s="1">
        <v>0</v>
      </c>
      <c r="D18" s="1">
        <v>112.77</v>
      </c>
      <c r="E18" s="1">
        <v>7.74</v>
      </c>
      <c r="F18" s="1">
        <v>87.32</v>
      </c>
      <c r="G18" s="1">
        <v>23.81</v>
      </c>
    </row>
    <row r="19" spans="1:7" x14ac:dyDescent="0.25">
      <c r="A19" s="1" t="s">
        <v>23</v>
      </c>
      <c r="B19" s="1">
        <v>0</v>
      </c>
      <c r="C19" s="1">
        <v>0</v>
      </c>
      <c r="D19" s="1">
        <v>1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1.6</v>
      </c>
      <c r="E20" s="1">
        <v>0</v>
      </c>
      <c r="F20" s="1">
        <v>3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8.4</v>
      </c>
      <c r="E21" s="1">
        <v>10</v>
      </c>
      <c r="F21" s="1">
        <v>7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1.2</v>
      </c>
      <c r="E24" s="1">
        <v>0</v>
      </c>
      <c r="F24" s="1">
        <v>1.8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2.8</v>
      </c>
      <c r="E25" s="1">
        <v>4.3</v>
      </c>
      <c r="F25" s="1">
        <v>8.1999999999999993</v>
      </c>
      <c r="G25" s="1">
        <v>2.2999999999999998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6</v>
      </c>
      <c r="E26" s="1">
        <v>5.7</v>
      </c>
      <c r="F26" s="1">
        <v>0</v>
      </c>
      <c r="G26" s="1">
        <v>7.6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12</v>
      </c>
      <c r="E29" s="3">
        <f t="shared" si="1"/>
        <v>0</v>
      </c>
      <c r="F29" s="3">
        <f t="shared" si="1"/>
        <v>18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27.999999999999996</v>
      </c>
      <c r="E30" s="3">
        <f t="shared" si="2"/>
        <v>43</v>
      </c>
      <c r="F30" s="3">
        <f t="shared" si="2"/>
        <v>82</v>
      </c>
      <c r="G30" s="3">
        <f t="shared" si="2"/>
        <v>23.232323232323235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60</v>
      </c>
      <c r="E31" s="3">
        <f t="shared" si="3"/>
        <v>57.000000000000007</v>
      </c>
      <c r="F31" s="3">
        <f t="shared" si="3"/>
        <v>0</v>
      </c>
      <c r="G31" s="3">
        <f t="shared" si="3"/>
        <v>76.767676767676775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79.25</v>
      </c>
      <c r="C33" s="3">
        <v>67.63</v>
      </c>
      <c r="D33" s="3">
        <v>18.690000000000001</v>
      </c>
      <c r="E33" s="3">
        <v>40.98</v>
      </c>
      <c r="F33" s="3">
        <v>2.2999999999999998</v>
      </c>
      <c r="G33" s="3">
        <v>54.95</v>
      </c>
    </row>
    <row r="35" spans="1:7" x14ac:dyDescent="0.25">
      <c r="A35" s="3" t="s">
        <v>36</v>
      </c>
      <c r="B35" s="3"/>
      <c r="C35" s="3"/>
      <c r="D35" s="3">
        <f>D33-C33</f>
        <v>-48.94</v>
      </c>
      <c r="E35" s="3"/>
      <c r="F35" s="3">
        <f>F33-E33</f>
        <v>-38.68</v>
      </c>
      <c r="G35" s="3"/>
    </row>
    <row r="37" spans="1:7" x14ac:dyDescent="0.25">
      <c r="A37" s="3" t="s">
        <v>36</v>
      </c>
      <c r="B37" s="3"/>
      <c r="C37" s="3">
        <f>C33-B33</f>
        <v>-11.620000000000005</v>
      </c>
      <c r="D37" s="3"/>
      <c r="E37" s="3">
        <f>E33-D33</f>
        <v>22.289999999999996</v>
      </c>
      <c r="F37" s="3"/>
      <c r="G37" s="3">
        <f>G33-F33</f>
        <v>52.650000000000006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02CB3-149A-47A3-9B26-0373BBA8B1D5}">
  <dimension ref="A1:G37"/>
  <sheetViews>
    <sheetView topLeftCell="A13" workbookViewId="0">
      <selection activeCell="C42" sqref="C42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607.48</v>
      </c>
      <c r="C2" s="1">
        <v>595.03</v>
      </c>
      <c r="D2" s="1">
        <v>601.49</v>
      </c>
      <c r="E2" s="1">
        <v>576.27</v>
      </c>
      <c r="F2" s="1">
        <v>588.91999999999996</v>
      </c>
      <c r="G2" s="1">
        <v>608.63</v>
      </c>
    </row>
    <row r="3" spans="1:7" x14ac:dyDescent="0.25">
      <c r="A3" s="1" t="s">
        <v>7</v>
      </c>
      <c r="B3" s="1">
        <v>58.43</v>
      </c>
      <c r="C3" s="1">
        <v>58.56</v>
      </c>
      <c r="D3" s="1">
        <v>57.53</v>
      </c>
      <c r="E3" s="1">
        <v>62.59</v>
      </c>
      <c r="F3" s="1">
        <v>62.01</v>
      </c>
      <c r="G3" s="1">
        <v>60.25</v>
      </c>
    </row>
    <row r="4" spans="1:7" x14ac:dyDescent="0.25">
      <c r="A4" s="1" t="s">
        <v>8</v>
      </c>
      <c r="B4" s="1">
        <v>36103.71</v>
      </c>
      <c r="C4" s="1">
        <v>35436.65</v>
      </c>
      <c r="D4" s="1">
        <v>35170.160000000003</v>
      </c>
      <c r="E4" s="1">
        <v>36622.660000000003</v>
      </c>
      <c r="F4" s="1">
        <v>37125.410000000003</v>
      </c>
      <c r="G4" s="1">
        <v>37281.18</v>
      </c>
    </row>
    <row r="5" spans="1:7" x14ac:dyDescent="0.25">
      <c r="A5" s="1" t="s">
        <v>9</v>
      </c>
      <c r="B5" s="1">
        <v>797.51</v>
      </c>
      <c r="C5" s="1">
        <v>847.5</v>
      </c>
      <c r="D5" s="1">
        <v>718.07</v>
      </c>
      <c r="E5" s="1">
        <v>583.34</v>
      </c>
      <c r="F5" s="1">
        <v>436.24</v>
      </c>
      <c r="G5" s="1">
        <v>760.12</v>
      </c>
    </row>
    <row r="6" spans="1:7" x14ac:dyDescent="0.25">
      <c r="A6" s="3" t="s">
        <v>10</v>
      </c>
      <c r="B6" s="3">
        <v>79.75</v>
      </c>
      <c r="C6" s="3">
        <v>85.61</v>
      </c>
      <c r="D6" s="3">
        <v>72.53</v>
      </c>
      <c r="E6" s="3">
        <v>58.92</v>
      </c>
      <c r="F6" s="3">
        <v>44.07</v>
      </c>
      <c r="G6" s="3">
        <v>77.56</v>
      </c>
    </row>
    <row r="7" spans="1:7" x14ac:dyDescent="0.25">
      <c r="A7" s="1" t="s">
        <v>11</v>
      </c>
      <c r="B7" s="1">
        <v>739.57</v>
      </c>
      <c r="C7" s="1">
        <v>822.8</v>
      </c>
      <c r="D7" s="1">
        <v>699.16</v>
      </c>
      <c r="E7" s="1">
        <v>555.08000000000004</v>
      </c>
      <c r="F7" s="1">
        <v>422.78</v>
      </c>
      <c r="G7" s="1">
        <v>736.67</v>
      </c>
    </row>
    <row r="8" spans="1:7" x14ac:dyDescent="0.25">
      <c r="A8" s="1" t="s">
        <v>12</v>
      </c>
      <c r="B8" s="1">
        <v>73.959999999999994</v>
      </c>
      <c r="C8" s="1">
        <v>83.11</v>
      </c>
      <c r="D8" s="1">
        <v>70.62</v>
      </c>
      <c r="E8" s="1">
        <v>56.07</v>
      </c>
      <c r="F8" s="1">
        <v>42.7</v>
      </c>
      <c r="G8" s="1">
        <v>75.17</v>
      </c>
    </row>
    <row r="9" spans="1:7" x14ac:dyDescent="0.25">
      <c r="A9" s="1" t="s">
        <v>13</v>
      </c>
      <c r="B9" s="1">
        <v>728.63</v>
      </c>
      <c r="C9" s="1">
        <v>822.8</v>
      </c>
      <c r="D9" s="1">
        <v>699.16</v>
      </c>
      <c r="E9" s="1">
        <v>517.96</v>
      </c>
      <c r="F9" s="1">
        <v>294.43</v>
      </c>
      <c r="G9" s="1">
        <v>736.67</v>
      </c>
    </row>
    <row r="10" spans="1:7" x14ac:dyDescent="0.25">
      <c r="A10" s="1" t="s">
        <v>14</v>
      </c>
      <c r="B10" s="1">
        <v>72.86</v>
      </c>
      <c r="C10" s="1">
        <v>83.11</v>
      </c>
      <c r="D10" s="1">
        <v>70.62</v>
      </c>
      <c r="E10" s="1">
        <v>52.32</v>
      </c>
      <c r="F10" s="1">
        <v>29.74</v>
      </c>
      <c r="G10" s="1">
        <v>75.17</v>
      </c>
    </row>
    <row r="11" spans="1:7" x14ac:dyDescent="0.25">
      <c r="A11" s="1" t="s">
        <v>15</v>
      </c>
      <c r="B11" s="1">
        <v>531.39</v>
      </c>
      <c r="C11" s="1">
        <v>640.03</v>
      </c>
      <c r="D11" s="1">
        <v>544.23</v>
      </c>
      <c r="E11" s="1">
        <v>332.91</v>
      </c>
      <c r="F11" s="1">
        <v>165.18</v>
      </c>
      <c r="G11" s="1">
        <v>572.46</v>
      </c>
    </row>
    <row r="12" spans="1:7" x14ac:dyDescent="0.25">
      <c r="A12" s="1" t="s">
        <v>16</v>
      </c>
      <c r="B12" s="1">
        <v>294.74</v>
      </c>
      <c r="C12" s="1">
        <v>284.91000000000003</v>
      </c>
      <c r="D12" s="1">
        <v>295.44</v>
      </c>
      <c r="E12" s="1">
        <v>235.58</v>
      </c>
      <c r="F12" s="1">
        <v>263.89999999999998</v>
      </c>
      <c r="G12" s="1">
        <v>277.73</v>
      </c>
    </row>
    <row r="13" spans="1:7" x14ac:dyDescent="0.25">
      <c r="A13" s="1" t="s">
        <v>17</v>
      </c>
      <c r="B13" s="1">
        <v>50</v>
      </c>
      <c r="C13" s="1">
        <v>45.57</v>
      </c>
      <c r="D13" s="1">
        <v>42.54</v>
      </c>
      <c r="E13" s="1">
        <v>47.04</v>
      </c>
      <c r="F13" s="1">
        <v>53.35</v>
      </c>
      <c r="G13" s="1">
        <v>37.72</v>
      </c>
    </row>
    <row r="14" spans="1:7" x14ac:dyDescent="0.25">
      <c r="A14" s="1" t="s">
        <v>18</v>
      </c>
      <c r="B14" s="1">
        <v>88.88</v>
      </c>
      <c r="C14" s="1">
        <v>99.49</v>
      </c>
      <c r="D14" s="1">
        <v>82.72</v>
      </c>
      <c r="E14" s="1">
        <v>104.52</v>
      </c>
      <c r="F14" s="1">
        <v>118.66</v>
      </c>
      <c r="G14" s="1">
        <v>97.5</v>
      </c>
    </row>
    <row r="15" spans="1:7" x14ac:dyDescent="0.25">
      <c r="A15" s="1" t="s">
        <v>19</v>
      </c>
      <c r="B15" s="1">
        <v>5</v>
      </c>
      <c r="C15" s="1">
        <v>3</v>
      </c>
      <c r="D15" s="1">
        <v>3</v>
      </c>
      <c r="E15" s="1">
        <v>3</v>
      </c>
      <c r="F15" s="1">
        <v>1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734.1</v>
      </c>
      <c r="C17" s="1">
        <v>822.8</v>
      </c>
      <c r="D17" s="1">
        <v>699.16</v>
      </c>
      <c r="E17" s="1">
        <v>536.52</v>
      </c>
      <c r="F17" s="1">
        <v>358.61</v>
      </c>
      <c r="G17" s="1">
        <v>736.67</v>
      </c>
    </row>
    <row r="18" spans="1:7" x14ac:dyDescent="0.25">
      <c r="A18" s="1" t="s">
        <v>22</v>
      </c>
      <c r="B18" s="1">
        <v>5.47</v>
      </c>
      <c r="C18" s="1">
        <v>0</v>
      </c>
      <c r="D18" s="1">
        <v>0</v>
      </c>
      <c r="E18" s="1">
        <v>18.559999999999999</v>
      </c>
      <c r="F18" s="1">
        <v>64.17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2.2999999999999998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7.7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1.2</v>
      </c>
      <c r="F25" s="1">
        <v>5.7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8.8000000000000007</v>
      </c>
      <c r="F26" s="1">
        <v>4.3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12</v>
      </c>
      <c r="F30" s="3">
        <f t="shared" si="2"/>
        <v>57.000000000000007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88.000000000000014</v>
      </c>
      <c r="F31" s="3">
        <f t="shared" si="3"/>
        <v>43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77.81</v>
      </c>
      <c r="C33" s="3">
        <v>84.15</v>
      </c>
      <c r="D33" s="3">
        <v>72.89</v>
      </c>
      <c r="E33" s="3">
        <v>52.14</v>
      </c>
      <c r="F33" s="3">
        <v>23.85</v>
      </c>
      <c r="G33" s="3">
        <v>77.27</v>
      </c>
    </row>
    <row r="35" spans="1:7" x14ac:dyDescent="0.25">
      <c r="A35" s="3" t="s">
        <v>36</v>
      </c>
      <c r="B35" s="3"/>
      <c r="C35" s="3"/>
      <c r="D35" s="3">
        <f>D33-C33</f>
        <v>-11.260000000000005</v>
      </c>
      <c r="E35" s="3"/>
      <c r="F35" s="3">
        <f>F33-E33</f>
        <v>-28.29</v>
      </c>
      <c r="G35" s="3"/>
    </row>
    <row r="37" spans="1:7" x14ac:dyDescent="0.25">
      <c r="A37" s="3" t="s">
        <v>36</v>
      </c>
      <c r="B37" s="3"/>
      <c r="C37" s="3">
        <f>C33-B33</f>
        <v>6.3400000000000034</v>
      </c>
      <c r="D37" s="3"/>
      <c r="E37" s="3">
        <f>E33-D33</f>
        <v>-20.75</v>
      </c>
      <c r="F37" s="3"/>
      <c r="G37" s="3">
        <f>G33-F33</f>
        <v>53.419999999999995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6523B-7A31-4ECB-8D67-031829FF938E}">
  <dimension ref="A1:G37"/>
  <sheetViews>
    <sheetView topLeftCell="A10" workbookViewId="0">
      <selection activeCell="L27" sqref="L27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677.41</v>
      </c>
      <c r="C2" s="1">
        <v>678.74</v>
      </c>
      <c r="D2" s="1">
        <v>674.61</v>
      </c>
      <c r="E2" s="1">
        <v>685.18</v>
      </c>
      <c r="F2" s="1">
        <v>659.77</v>
      </c>
      <c r="G2" s="1">
        <v>674.62</v>
      </c>
    </row>
    <row r="3" spans="1:7" x14ac:dyDescent="0.25">
      <c r="A3" s="1" t="s">
        <v>7</v>
      </c>
      <c r="B3" s="1">
        <v>60.01</v>
      </c>
      <c r="C3" s="1">
        <v>60.89</v>
      </c>
      <c r="D3" s="1">
        <v>59.26</v>
      </c>
      <c r="E3" s="1">
        <v>60</v>
      </c>
      <c r="F3" s="1">
        <v>60.62</v>
      </c>
      <c r="G3" s="1">
        <v>61.03</v>
      </c>
    </row>
    <row r="4" spans="1:7" x14ac:dyDescent="0.25">
      <c r="A4" s="1" t="s">
        <v>8</v>
      </c>
      <c r="B4" s="1">
        <v>41354.629999999997</v>
      </c>
      <c r="C4" s="1">
        <v>42012.52</v>
      </c>
      <c r="D4" s="1">
        <v>40634.33</v>
      </c>
      <c r="E4" s="1">
        <v>41800.85</v>
      </c>
      <c r="F4" s="1">
        <v>40625.120000000003</v>
      </c>
      <c r="G4" s="1">
        <v>41811.949999999997</v>
      </c>
    </row>
    <row r="5" spans="1:7" x14ac:dyDescent="0.25">
      <c r="A5" s="1" t="s">
        <v>9</v>
      </c>
      <c r="B5" s="1">
        <v>1169.23</v>
      </c>
      <c r="C5" s="1">
        <v>1199.9000000000001</v>
      </c>
      <c r="D5" s="1">
        <v>1035.25</v>
      </c>
      <c r="E5" s="1">
        <v>980.64</v>
      </c>
      <c r="F5" s="1">
        <v>724.08</v>
      </c>
      <c r="G5" s="1">
        <v>805.33</v>
      </c>
    </row>
    <row r="6" spans="1:7" x14ac:dyDescent="0.25">
      <c r="A6" s="3" t="s">
        <v>10</v>
      </c>
      <c r="B6" s="3">
        <v>116.92</v>
      </c>
      <c r="C6" s="3">
        <v>121.2</v>
      </c>
      <c r="D6" s="3">
        <v>104.57</v>
      </c>
      <c r="E6" s="3">
        <v>99.05</v>
      </c>
      <c r="F6" s="3">
        <v>73.14</v>
      </c>
      <c r="G6" s="3">
        <v>82.18</v>
      </c>
    </row>
    <row r="7" spans="1:7" x14ac:dyDescent="0.25">
      <c r="A7" s="1" t="s">
        <v>11</v>
      </c>
      <c r="B7" s="1">
        <v>1165.01</v>
      </c>
      <c r="C7" s="1">
        <v>1192.1099999999999</v>
      </c>
      <c r="D7" s="1">
        <v>1017.74</v>
      </c>
      <c r="E7" s="1">
        <v>972.06</v>
      </c>
      <c r="F7" s="1">
        <v>712.54</v>
      </c>
      <c r="G7" s="1">
        <v>758.86</v>
      </c>
    </row>
    <row r="8" spans="1:7" x14ac:dyDescent="0.25">
      <c r="A8" s="1" t="s">
        <v>12</v>
      </c>
      <c r="B8" s="1">
        <v>116.5</v>
      </c>
      <c r="C8" s="1">
        <v>120.42</v>
      </c>
      <c r="D8" s="1">
        <v>102.8</v>
      </c>
      <c r="E8" s="1">
        <v>98.19</v>
      </c>
      <c r="F8" s="1">
        <v>71.97</v>
      </c>
      <c r="G8" s="1">
        <v>77.430000000000007</v>
      </c>
    </row>
    <row r="9" spans="1:7" x14ac:dyDescent="0.25">
      <c r="A9" s="1" t="s">
        <v>13</v>
      </c>
      <c r="B9" s="1">
        <v>1165.01</v>
      </c>
      <c r="C9" s="1">
        <v>1192.1099999999999</v>
      </c>
      <c r="D9" s="1">
        <v>1017.74</v>
      </c>
      <c r="E9" s="1">
        <v>972.06</v>
      </c>
      <c r="F9" s="1">
        <v>414.6</v>
      </c>
      <c r="G9" s="1">
        <v>757.58</v>
      </c>
    </row>
    <row r="10" spans="1:7" x14ac:dyDescent="0.25">
      <c r="A10" s="1" t="s">
        <v>14</v>
      </c>
      <c r="B10" s="1">
        <v>116.5</v>
      </c>
      <c r="C10" s="1">
        <v>120.42</v>
      </c>
      <c r="D10" s="1">
        <v>102.8</v>
      </c>
      <c r="E10" s="1">
        <v>98.19</v>
      </c>
      <c r="F10" s="1">
        <v>41.88</v>
      </c>
      <c r="G10" s="1">
        <v>77.3</v>
      </c>
    </row>
    <row r="11" spans="1:7" x14ac:dyDescent="0.25">
      <c r="A11" s="1" t="s">
        <v>15</v>
      </c>
      <c r="B11" s="1">
        <v>880.23</v>
      </c>
      <c r="C11" s="1">
        <v>963.81</v>
      </c>
      <c r="D11" s="1">
        <v>751.74</v>
      </c>
      <c r="E11" s="1">
        <v>626.79</v>
      </c>
      <c r="F11" s="1">
        <v>130.58000000000001</v>
      </c>
      <c r="G11" s="1">
        <v>630.67999999999995</v>
      </c>
    </row>
    <row r="12" spans="1:7" x14ac:dyDescent="0.25">
      <c r="A12" s="1" t="s">
        <v>16</v>
      </c>
      <c r="B12" s="1">
        <v>344.39</v>
      </c>
      <c r="C12" s="1">
        <v>337.98</v>
      </c>
      <c r="D12" s="1">
        <v>328.8</v>
      </c>
      <c r="E12" s="1">
        <v>324.43</v>
      </c>
      <c r="F12" s="1">
        <v>316.87</v>
      </c>
      <c r="G12" s="1">
        <v>360.76</v>
      </c>
    </row>
    <row r="13" spans="1:7" x14ac:dyDescent="0.25">
      <c r="A13" s="1" t="s">
        <v>17</v>
      </c>
      <c r="B13" s="1">
        <v>55.97</v>
      </c>
      <c r="C13" s="1">
        <v>46.6</v>
      </c>
      <c r="D13" s="1">
        <v>60.84</v>
      </c>
      <c r="E13" s="1">
        <v>56.3</v>
      </c>
      <c r="F13" s="1">
        <v>75.61</v>
      </c>
      <c r="G13" s="1">
        <v>25.98</v>
      </c>
    </row>
    <row r="14" spans="1:7" x14ac:dyDescent="0.25">
      <c r="A14" s="1" t="s">
        <v>18</v>
      </c>
      <c r="B14" s="1">
        <v>112.3</v>
      </c>
      <c r="C14" s="1">
        <v>97.49</v>
      </c>
      <c r="D14" s="1">
        <v>119.18</v>
      </c>
      <c r="E14" s="1">
        <v>124.2</v>
      </c>
      <c r="F14" s="1">
        <v>124.45</v>
      </c>
      <c r="G14" s="1">
        <v>58.91</v>
      </c>
    </row>
    <row r="15" spans="1:7" x14ac:dyDescent="0.25">
      <c r="A15" s="1" t="s">
        <v>19</v>
      </c>
      <c r="B15" s="1">
        <v>4</v>
      </c>
      <c r="C15" s="1">
        <v>4</v>
      </c>
      <c r="D15" s="1">
        <v>3</v>
      </c>
      <c r="E15" s="1">
        <v>4</v>
      </c>
      <c r="F15" s="1">
        <v>2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1165.01</v>
      </c>
      <c r="C17" s="1">
        <v>1192.1099999999999</v>
      </c>
      <c r="D17" s="1">
        <v>1017.74</v>
      </c>
      <c r="E17" s="1">
        <v>972.06</v>
      </c>
      <c r="F17" s="1">
        <v>563.57000000000005</v>
      </c>
      <c r="G17" s="1">
        <v>758.22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148.97</v>
      </c>
      <c r="G18" s="1">
        <v>0.64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3.5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6.5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2.7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3.2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4.0999999999999996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27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32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41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114.21</v>
      </c>
      <c r="C33" s="3">
        <v>123.5</v>
      </c>
      <c r="D33" s="3">
        <v>104.4</v>
      </c>
      <c r="E33" s="3">
        <v>99.14</v>
      </c>
      <c r="F33" s="3">
        <v>18.5</v>
      </c>
      <c r="G33" s="3">
        <v>82.37</v>
      </c>
    </row>
    <row r="35" spans="1:7" x14ac:dyDescent="0.25">
      <c r="A35" s="3" t="s">
        <v>36</v>
      </c>
      <c r="B35" s="3"/>
      <c r="C35" s="3"/>
      <c r="D35" s="3">
        <f>D33-C33</f>
        <v>-19.099999999999994</v>
      </c>
      <c r="E35" s="3"/>
      <c r="F35" s="3">
        <f>F33-E33</f>
        <v>-80.64</v>
      </c>
      <c r="G35" s="3"/>
    </row>
    <row r="37" spans="1:7" x14ac:dyDescent="0.25">
      <c r="A37" s="3" t="s">
        <v>36</v>
      </c>
      <c r="B37" s="3"/>
      <c r="C37" s="3">
        <f>C33-B33</f>
        <v>9.2900000000000063</v>
      </c>
      <c r="D37" s="3"/>
      <c r="E37" s="3">
        <f>E33-D33</f>
        <v>-5.2600000000000051</v>
      </c>
      <c r="F37" s="3"/>
      <c r="G37" s="3">
        <f>G33-F33</f>
        <v>63.870000000000005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B6338-311D-492F-AB8C-08E4EE3CFE9A}">
  <dimension ref="A1:G37"/>
  <sheetViews>
    <sheetView tabSelected="1" workbookViewId="0">
      <selection activeCell="J21" sqref="J21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>
        <f>C33-B33</f>
        <v>0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240105B001.2</vt:lpstr>
      <vt:lpstr>240105B001.3</vt:lpstr>
      <vt:lpstr>240105B002.1</vt:lpstr>
      <vt:lpstr>240105B002.2</vt:lpstr>
      <vt:lpstr>240105B002.3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2024-01-18T23:37:30Z</dcterms:created>
  <dcterms:modified xsi:type="dcterms:W3CDTF">2024-01-19T00:32:38Z</dcterms:modified>
</cp:coreProperties>
</file>