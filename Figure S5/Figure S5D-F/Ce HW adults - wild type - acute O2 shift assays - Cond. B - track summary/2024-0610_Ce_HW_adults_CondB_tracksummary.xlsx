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cute Shift Assays\C. elegans\Adults\CB4856 (HW)\2024-0610\WormLab Data\"/>
    </mc:Choice>
  </mc:AlternateContent>
  <xr:revisionPtr revIDLastSave="0" documentId="13_ncr:1_{1FE18D86-45C4-4B38-84B1-37AD368AB8CC}" xr6:coauthVersionLast="36" xr6:coauthVersionMax="36" xr10:uidLastSave="{00000000-0000-0000-0000-000000000000}"/>
  <bookViews>
    <workbookView xWindow="0" yWindow="0" windowWidth="24360" windowHeight="10935" activeTab="6" xr2:uid="{28FDF309-3F68-4BAB-9C75-21E9E0CBEE3C}"/>
  </bookViews>
  <sheets>
    <sheet name="240610B001.1" sheetId="2" r:id="rId1"/>
    <sheet name="240610B001.2" sheetId="3" r:id="rId2"/>
    <sheet name="240610B001.3" sheetId="4" r:id="rId3"/>
    <sheet name="240610B002.1" sheetId="5" r:id="rId4"/>
    <sheet name="240610B002.2" sheetId="6" r:id="rId5"/>
    <sheet name="240610B003.2" sheetId="7" r:id="rId6"/>
    <sheet name="240610B003.3" sheetId="8" r:id="rId7"/>
    <sheet name="template" sheetId="1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8" l="1"/>
  <c r="E37" i="8"/>
  <c r="C37" i="8"/>
  <c r="F35" i="8"/>
  <c r="D35" i="8"/>
  <c r="E31" i="8"/>
  <c r="C31" i="8"/>
  <c r="B31" i="8"/>
  <c r="D30" i="8"/>
  <c r="C30" i="8"/>
  <c r="G28" i="8"/>
  <c r="G29" i="8" s="1"/>
  <c r="F28" i="8"/>
  <c r="F29" i="8" s="1"/>
  <c r="E28" i="8"/>
  <c r="E29" i="8" s="1"/>
  <c r="D28" i="8"/>
  <c r="D29" i="8" s="1"/>
  <c r="C28" i="8"/>
  <c r="C29" i="8" s="1"/>
  <c r="B28" i="8"/>
  <c r="B30" i="8" s="1"/>
  <c r="G37" i="7"/>
  <c r="E37" i="7"/>
  <c r="C37" i="7"/>
  <c r="F35" i="7"/>
  <c r="D35" i="7"/>
  <c r="E31" i="7"/>
  <c r="D31" i="7"/>
  <c r="F30" i="7"/>
  <c r="D30" i="7"/>
  <c r="G29" i="7"/>
  <c r="F29" i="7"/>
  <c r="E29" i="7"/>
  <c r="D29" i="7"/>
  <c r="C29" i="7"/>
  <c r="G28" i="7"/>
  <c r="G31" i="7" s="1"/>
  <c r="F28" i="7"/>
  <c r="F31" i="7" s="1"/>
  <c r="E28" i="7"/>
  <c r="E30" i="7" s="1"/>
  <c r="D28" i="7"/>
  <c r="C28" i="7"/>
  <c r="C31" i="7" s="1"/>
  <c r="B28" i="7"/>
  <c r="B29" i="7" s="1"/>
  <c r="B31" i="6"/>
  <c r="G37" i="6"/>
  <c r="E37" i="6"/>
  <c r="C37" i="6"/>
  <c r="F35" i="6"/>
  <c r="D35" i="6"/>
  <c r="C31" i="6"/>
  <c r="B30" i="6"/>
  <c r="G28" i="6"/>
  <c r="G30" i="6" s="1"/>
  <c r="F28" i="6"/>
  <c r="F29" i="6" s="1"/>
  <c r="E28" i="6"/>
  <c r="E29" i="6" s="1"/>
  <c r="D28" i="6"/>
  <c r="D30" i="6" s="1"/>
  <c r="C28" i="6"/>
  <c r="C30" i="6" s="1"/>
  <c r="B28" i="6"/>
  <c r="B29" i="6" s="1"/>
  <c r="B29" i="5"/>
  <c r="B31" i="5"/>
  <c r="G37" i="5"/>
  <c r="E37" i="5"/>
  <c r="C37" i="5"/>
  <c r="F35" i="5"/>
  <c r="D35" i="5"/>
  <c r="D30" i="5"/>
  <c r="C30" i="5"/>
  <c r="B30" i="5"/>
  <c r="F29" i="5"/>
  <c r="D29" i="5"/>
  <c r="G28" i="5"/>
  <c r="G31" i="5" s="1"/>
  <c r="F28" i="5"/>
  <c r="F31" i="5" s="1"/>
  <c r="E28" i="5"/>
  <c r="E30" i="5" s="1"/>
  <c r="D28" i="5"/>
  <c r="D31" i="5" s="1"/>
  <c r="C28" i="5"/>
  <c r="C29" i="5" s="1"/>
  <c r="B28" i="5"/>
  <c r="G37" i="4"/>
  <c r="E37" i="4"/>
  <c r="C37" i="4"/>
  <c r="F35" i="4"/>
  <c r="D35" i="4"/>
  <c r="B30" i="4"/>
  <c r="C29" i="4"/>
  <c r="G28" i="4"/>
  <c r="G30" i="4" s="1"/>
  <c r="F28" i="4"/>
  <c r="F30" i="4" s="1"/>
  <c r="E28" i="4"/>
  <c r="E30" i="4" s="1"/>
  <c r="D28" i="4"/>
  <c r="D31" i="4" s="1"/>
  <c r="C28" i="4"/>
  <c r="C31" i="4" s="1"/>
  <c r="B28" i="4"/>
  <c r="B29" i="4" s="1"/>
  <c r="G37" i="3"/>
  <c r="E37" i="3"/>
  <c r="C37" i="3"/>
  <c r="F35" i="3"/>
  <c r="D35" i="3"/>
  <c r="F31" i="3"/>
  <c r="E31" i="3"/>
  <c r="D31" i="3"/>
  <c r="C31" i="3"/>
  <c r="F30" i="3"/>
  <c r="E30" i="3"/>
  <c r="D30" i="3"/>
  <c r="C30" i="3"/>
  <c r="B30" i="3"/>
  <c r="F29" i="3"/>
  <c r="E29" i="3"/>
  <c r="G28" i="3"/>
  <c r="G31" i="3" s="1"/>
  <c r="F28" i="3"/>
  <c r="E28" i="3"/>
  <c r="D28" i="3"/>
  <c r="D29" i="3" s="1"/>
  <c r="C28" i="3"/>
  <c r="C29" i="3" s="1"/>
  <c r="B28" i="3"/>
  <c r="B29" i="3" s="1"/>
  <c r="G37" i="2"/>
  <c r="E37" i="2"/>
  <c r="C37" i="2"/>
  <c r="F35" i="2"/>
  <c r="D35" i="2"/>
  <c r="G31" i="2"/>
  <c r="F31" i="2"/>
  <c r="E31" i="2"/>
  <c r="C31" i="2"/>
  <c r="B31" i="2"/>
  <c r="G30" i="2"/>
  <c r="F30" i="2"/>
  <c r="E30" i="2"/>
  <c r="D30" i="2"/>
  <c r="C30" i="2"/>
  <c r="B30" i="2"/>
  <c r="G29" i="2"/>
  <c r="F29" i="2"/>
  <c r="E29" i="2"/>
  <c r="D29" i="2"/>
  <c r="C29" i="2"/>
  <c r="G28" i="2"/>
  <c r="F28" i="2"/>
  <c r="E28" i="2"/>
  <c r="D28" i="2"/>
  <c r="D31" i="2" s="1"/>
  <c r="C28" i="2"/>
  <c r="B28" i="2"/>
  <c r="B29" i="2" s="1"/>
  <c r="G31" i="8" l="1"/>
  <c r="F31" i="8"/>
  <c r="E30" i="8"/>
  <c r="F30" i="8"/>
  <c r="G30" i="8"/>
  <c r="D31" i="8"/>
  <c r="B29" i="8"/>
  <c r="B30" i="7"/>
  <c r="C30" i="7"/>
  <c r="G30" i="7"/>
  <c r="B31" i="7"/>
  <c r="E31" i="6"/>
  <c r="F31" i="6"/>
  <c r="G29" i="6"/>
  <c r="E30" i="6"/>
  <c r="G31" i="6"/>
  <c r="F30" i="6"/>
  <c r="D31" i="6"/>
  <c r="C29" i="6"/>
  <c r="D29" i="6"/>
  <c r="F30" i="5"/>
  <c r="G29" i="5"/>
  <c r="G30" i="5"/>
  <c r="E29" i="5"/>
  <c r="E31" i="5"/>
  <c r="C31" i="5"/>
  <c r="E29" i="4"/>
  <c r="F29" i="4"/>
  <c r="B31" i="4"/>
  <c r="E31" i="4"/>
  <c r="F31" i="4"/>
  <c r="G29" i="4"/>
  <c r="G31" i="4"/>
  <c r="D29" i="4"/>
  <c r="C30" i="4"/>
  <c r="D30" i="4"/>
  <c r="G29" i="3"/>
  <c r="G30" i="3"/>
  <c r="B31" i="3"/>
  <c r="G37" i="1"/>
  <c r="E37" i="1"/>
  <c r="C37" i="1"/>
  <c r="F35" i="1"/>
  <c r="D35" i="1"/>
  <c r="G31" i="1"/>
  <c r="F31" i="1"/>
  <c r="E31" i="1"/>
  <c r="C31" i="1"/>
  <c r="G28" i="1"/>
  <c r="G30" i="1" s="1"/>
  <c r="F28" i="1"/>
  <c r="F30" i="1" s="1"/>
  <c r="E28" i="1"/>
  <c r="E30" i="1" s="1"/>
  <c r="D28" i="1"/>
  <c r="D29" i="1" s="1"/>
  <c r="C28" i="1"/>
  <c r="C29" i="1" s="1"/>
  <c r="B28" i="1"/>
  <c r="B29" i="1" s="1"/>
  <c r="E29" i="1" l="1"/>
  <c r="F29" i="1"/>
  <c r="G29" i="1"/>
  <c r="B30" i="1"/>
  <c r="C30" i="1"/>
  <c r="D30" i="1"/>
  <c r="B31" i="1"/>
  <c r="D31" i="1"/>
</calcChain>
</file>

<file path=xl/sharedStrings.xml><?xml version="1.0" encoding="utf-8"?>
<sst xmlns="http://schemas.openxmlformats.org/spreadsheetml/2006/main" count="304" uniqueCount="37">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</sst>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990CA-211C-45D2-9D3E-185DEBD57BA8}">
  <dimension ref="A1:G37"/>
  <sheetViews>
    <sheetView topLeftCell="A1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706</v>
      </c>
      <c r="C2" s="1">
        <v>737.83</v>
      </c>
      <c r="D2" s="1">
        <v>715.72</v>
      </c>
      <c r="E2" s="1">
        <v>719.91</v>
      </c>
      <c r="F2" s="1">
        <v>725.33</v>
      </c>
      <c r="G2" s="1">
        <v>724.12</v>
      </c>
    </row>
    <row r="3" spans="1:7" x14ac:dyDescent="0.25">
      <c r="A3" s="1" t="s">
        <v>7</v>
      </c>
      <c r="B3" s="1">
        <v>63.97</v>
      </c>
      <c r="C3" s="1">
        <v>63.41</v>
      </c>
      <c r="D3" s="1">
        <v>61.81</v>
      </c>
      <c r="E3" s="1">
        <v>62.55</v>
      </c>
      <c r="F3" s="1">
        <v>63.73</v>
      </c>
      <c r="G3" s="1">
        <v>64.959999999999994</v>
      </c>
    </row>
    <row r="4" spans="1:7" x14ac:dyDescent="0.25">
      <c r="A4" s="1" t="s">
        <v>8</v>
      </c>
      <c r="B4" s="1">
        <v>45895.07</v>
      </c>
      <c r="C4" s="1">
        <v>47608.160000000003</v>
      </c>
      <c r="D4" s="1">
        <v>45000.58</v>
      </c>
      <c r="E4" s="1">
        <v>45802.68</v>
      </c>
      <c r="F4" s="1">
        <v>46996.65</v>
      </c>
      <c r="G4" s="1">
        <v>47825.89</v>
      </c>
    </row>
    <row r="5" spans="1:7" x14ac:dyDescent="0.25">
      <c r="A5" s="1" t="s">
        <v>9</v>
      </c>
      <c r="B5" s="1">
        <v>1367.33</v>
      </c>
      <c r="C5" s="1">
        <v>1722.75</v>
      </c>
      <c r="D5" s="1">
        <v>937.34</v>
      </c>
      <c r="E5" s="1">
        <v>797.05</v>
      </c>
      <c r="F5" s="1">
        <v>703.65</v>
      </c>
      <c r="G5" s="1">
        <v>1599.1</v>
      </c>
    </row>
    <row r="6" spans="1:7" x14ac:dyDescent="0.25">
      <c r="A6" s="3" t="s">
        <v>10</v>
      </c>
      <c r="B6" s="3">
        <v>136.72999999999999</v>
      </c>
      <c r="C6" s="3">
        <v>174.02</v>
      </c>
      <c r="D6" s="3">
        <v>94.68</v>
      </c>
      <c r="E6" s="3">
        <v>80.510000000000005</v>
      </c>
      <c r="F6" s="3">
        <v>71.08</v>
      </c>
      <c r="G6" s="3">
        <v>163.16999999999999</v>
      </c>
    </row>
    <row r="7" spans="1:7" x14ac:dyDescent="0.25">
      <c r="A7" s="1" t="s">
        <v>11</v>
      </c>
      <c r="B7" s="1">
        <v>1202.31</v>
      </c>
      <c r="C7" s="1">
        <v>1694.73</v>
      </c>
      <c r="D7" s="1">
        <v>931.71</v>
      </c>
      <c r="E7" s="1">
        <v>782.81</v>
      </c>
      <c r="F7" s="1">
        <v>684.01</v>
      </c>
      <c r="G7" s="1">
        <v>1584.81</v>
      </c>
    </row>
    <row r="8" spans="1:7" x14ac:dyDescent="0.25">
      <c r="A8" s="1" t="s">
        <v>12</v>
      </c>
      <c r="B8" s="1">
        <v>120.23</v>
      </c>
      <c r="C8" s="1">
        <v>171.19</v>
      </c>
      <c r="D8" s="1">
        <v>94.11</v>
      </c>
      <c r="E8" s="1">
        <v>79.069999999999993</v>
      </c>
      <c r="F8" s="1">
        <v>69.09</v>
      </c>
      <c r="G8" s="1">
        <v>161.72</v>
      </c>
    </row>
    <row r="9" spans="1:7" x14ac:dyDescent="0.25">
      <c r="A9" s="1" t="s">
        <v>13</v>
      </c>
      <c r="B9" s="1">
        <v>425.97</v>
      </c>
      <c r="C9" s="1">
        <v>1694.73</v>
      </c>
      <c r="D9" s="1">
        <v>927.46</v>
      </c>
      <c r="E9" s="1">
        <v>782.81</v>
      </c>
      <c r="F9" s="1">
        <v>-301.29000000000002</v>
      </c>
      <c r="G9" s="1">
        <v>1584.81</v>
      </c>
    </row>
    <row r="10" spans="1:7" x14ac:dyDescent="0.25">
      <c r="A10" s="1" t="s">
        <v>14</v>
      </c>
      <c r="B10" s="1">
        <v>42.6</v>
      </c>
      <c r="C10" s="1">
        <v>171.19</v>
      </c>
      <c r="D10" s="1">
        <v>93.68</v>
      </c>
      <c r="E10" s="1">
        <v>79.069999999999993</v>
      </c>
      <c r="F10" s="1">
        <v>-30.43</v>
      </c>
      <c r="G10" s="1">
        <v>161.72</v>
      </c>
    </row>
    <row r="11" spans="1:7" x14ac:dyDescent="0.25">
      <c r="A11" s="1" t="s">
        <v>15</v>
      </c>
      <c r="B11" s="1">
        <v>245.18</v>
      </c>
      <c r="C11" s="1">
        <v>1287.8599999999999</v>
      </c>
      <c r="D11" s="1">
        <v>785.79</v>
      </c>
      <c r="E11" s="1">
        <v>652.73</v>
      </c>
      <c r="F11" s="1">
        <v>171.07</v>
      </c>
      <c r="G11" s="1">
        <v>1271.72</v>
      </c>
    </row>
    <row r="12" spans="1:7" x14ac:dyDescent="0.25">
      <c r="A12" s="1" t="s">
        <v>16</v>
      </c>
      <c r="B12" s="1">
        <v>328.12</v>
      </c>
      <c r="C12" s="1">
        <v>368.27</v>
      </c>
      <c r="D12" s="1">
        <v>356.38</v>
      </c>
      <c r="E12" s="1">
        <v>333.19</v>
      </c>
      <c r="F12" s="1">
        <v>354.67</v>
      </c>
      <c r="G12" s="1">
        <v>383.88</v>
      </c>
    </row>
    <row r="13" spans="1:7" x14ac:dyDescent="0.25">
      <c r="A13" s="1" t="s">
        <v>17</v>
      </c>
      <c r="B13" s="1">
        <v>74.27</v>
      </c>
      <c r="C13" s="1">
        <v>44.17</v>
      </c>
      <c r="D13" s="1">
        <v>42.71</v>
      </c>
      <c r="E13" s="1">
        <v>41.67</v>
      </c>
      <c r="F13" s="1">
        <v>49.44</v>
      </c>
      <c r="G13" s="1">
        <v>47.72</v>
      </c>
    </row>
    <row r="14" spans="1:7" x14ac:dyDescent="0.25">
      <c r="A14" s="1" t="s">
        <v>18</v>
      </c>
      <c r="B14" s="1">
        <v>141.72999999999999</v>
      </c>
      <c r="C14" s="1">
        <v>96.38</v>
      </c>
      <c r="D14" s="1">
        <v>78.73</v>
      </c>
      <c r="E14" s="1">
        <v>89.03</v>
      </c>
      <c r="F14" s="1">
        <v>82.6</v>
      </c>
      <c r="G14" s="1">
        <v>100.72</v>
      </c>
    </row>
    <row r="15" spans="1:7" x14ac:dyDescent="0.25">
      <c r="A15" s="1" t="s">
        <v>19</v>
      </c>
      <c r="B15" s="1">
        <v>4</v>
      </c>
      <c r="C15" s="1">
        <v>3</v>
      </c>
      <c r="D15" s="1">
        <v>3</v>
      </c>
      <c r="E15" s="1">
        <v>3</v>
      </c>
      <c r="F15" s="1">
        <v>3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814.14</v>
      </c>
      <c r="C17" s="1">
        <v>1694.73</v>
      </c>
      <c r="D17" s="1">
        <v>929.59</v>
      </c>
      <c r="E17" s="1">
        <v>782.81</v>
      </c>
      <c r="F17" s="1">
        <v>191.36</v>
      </c>
      <c r="G17" s="1">
        <v>1584.81</v>
      </c>
    </row>
    <row r="18" spans="1:7" x14ac:dyDescent="0.25">
      <c r="A18" s="1" t="s">
        <v>22</v>
      </c>
      <c r="B18" s="1">
        <v>388.17</v>
      </c>
      <c r="C18" s="1">
        <v>0</v>
      </c>
      <c r="D18" s="1">
        <v>2.12</v>
      </c>
      <c r="E18" s="1">
        <v>0</v>
      </c>
      <c r="F18" s="1">
        <v>492.65</v>
      </c>
      <c r="G18" s="1">
        <v>0</v>
      </c>
    </row>
    <row r="19" spans="1:7" x14ac:dyDescent="0.25">
      <c r="A19" s="1" t="s">
        <v>23</v>
      </c>
      <c r="B19" s="1">
        <v>1</v>
      </c>
      <c r="C19" s="1">
        <v>0</v>
      </c>
      <c r="D19" s="1">
        <v>0</v>
      </c>
      <c r="E19" s="1">
        <v>0</v>
      </c>
      <c r="F19" s="1">
        <v>2</v>
      </c>
      <c r="G19" s="1">
        <v>0</v>
      </c>
    </row>
    <row r="20" spans="1:7" x14ac:dyDescent="0.25">
      <c r="A20" s="1" t="s">
        <v>24</v>
      </c>
      <c r="B20" s="1">
        <v>2.6</v>
      </c>
      <c r="C20" s="1">
        <v>0</v>
      </c>
      <c r="D20" s="1">
        <v>0</v>
      </c>
      <c r="E20" s="1">
        <v>0</v>
      </c>
      <c r="F20" s="1">
        <v>4.5</v>
      </c>
      <c r="G20" s="1">
        <v>0</v>
      </c>
    </row>
    <row r="21" spans="1:7" x14ac:dyDescent="0.25">
      <c r="A21" s="1" t="s">
        <v>25</v>
      </c>
      <c r="B21" s="1">
        <v>7.5</v>
      </c>
      <c r="C21" s="1">
        <v>10</v>
      </c>
      <c r="D21" s="1">
        <v>10</v>
      </c>
      <c r="E21" s="1">
        <v>10</v>
      </c>
      <c r="F21" s="1">
        <v>5.5</v>
      </c>
      <c r="G21" s="1">
        <v>9.9</v>
      </c>
    </row>
    <row r="22" spans="1:7" x14ac:dyDescent="0.25">
      <c r="A22" s="1" t="s">
        <v>26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1.2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3</v>
      </c>
      <c r="C24" s="1">
        <v>0</v>
      </c>
      <c r="D24" s="1">
        <v>0</v>
      </c>
      <c r="E24" s="1">
        <v>0</v>
      </c>
      <c r="F24" s="1">
        <v>5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7.1</v>
      </c>
      <c r="C26" s="1">
        <v>10</v>
      </c>
      <c r="D26" s="1">
        <v>10</v>
      </c>
      <c r="E26" s="1">
        <v>10</v>
      </c>
      <c r="F26" s="1">
        <v>5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29.702970297029701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50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70.297029702970292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50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27.02</v>
      </c>
      <c r="C33" s="3">
        <v>170.87</v>
      </c>
      <c r="D33" s="3">
        <v>96.39</v>
      </c>
      <c r="E33" s="3">
        <v>80.739999999999995</v>
      </c>
      <c r="F33" s="3">
        <v>-19.7</v>
      </c>
      <c r="G33" s="3">
        <v>162.51</v>
      </c>
    </row>
    <row r="35" spans="1:7" x14ac:dyDescent="0.25">
      <c r="A35" s="3" t="s">
        <v>36</v>
      </c>
      <c r="B35" s="3"/>
      <c r="C35" s="3"/>
      <c r="D35" s="3">
        <f>D33-C33</f>
        <v>-74.48</v>
      </c>
      <c r="E35" s="3"/>
      <c r="F35" s="3">
        <f>F33-E33</f>
        <v>-100.44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-15.650000000000006</v>
      </c>
      <c r="F37" s="3"/>
      <c r="G37" s="3">
        <f>G33-F33</f>
        <v>182.20999999999998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0455A-576C-4448-8274-F20B846732CF}">
  <dimension ref="A1:G37"/>
  <sheetViews>
    <sheetView topLeftCell="A7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702.65</v>
      </c>
      <c r="C2" s="1">
        <v>646.04999999999995</v>
      </c>
      <c r="D2" s="1">
        <v>664.76</v>
      </c>
      <c r="E2" s="1">
        <v>625.21</v>
      </c>
      <c r="F2" s="1">
        <v>618.1</v>
      </c>
      <c r="G2" s="1">
        <v>625.57000000000005</v>
      </c>
    </row>
    <row r="3" spans="1:7" x14ac:dyDescent="0.25">
      <c r="A3" s="1" t="s">
        <v>7</v>
      </c>
      <c r="B3" s="1">
        <v>57.52</v>
      </c>
      <c r="C3" s="1">
        <v>55.94</v>
      </c>
      <c r="D3" s="1">
        <v>52.43</v>
      </c>
      <c r="E3" s="1">
        <v>48.31</v>
      </c>
      <c r="F3" s="1">
        <v>51.04</v>
      </c>
      <c r="G3" s="1">
        <v>48.99</v>
      </c>
    </row>
    <row r="4" spans="1:7" x14ac:dyDescent="0.25">
      <c r="A4" s="1" t="s">
        <v>8</v>
      </c>
      <c r="B4" s="1">
        <v>41093.550000000003</v>
      </c>
      <c r="C4" s="1">
        <v>36714.25</v>
      </c>
      <c r="D4" s="1">
        <v>35426.76</v>
      </c>
      <c r="E4" s="1">
        <v>30677.71</v>
      </c>
      <c r="F4" s="1">
        <v>32024.53</v>
      </c>
      <c r="G4" s="1">
        <v>31091.77</v>
      </c>
    </row>
    <row r="5" spans="1:7" x14ac:dyDescent="0.25">
      <c r="A5" s="1" t="s">
        <v>9</v>
      </c>
      <c r="B5" s="1">
        <v>1262.83</v>
      </c>
      <c r="C5" s="1">
        <v>1184.5999999999999</v>
      </c>
      <c r="D5" s="1">
        <v>646.98</v>
      </c>
      <c r="E5" s="1">
        <v>545.39</v>
      </c>
      <c r="F5" s="1">
        <v>663.32</v>
      </c>
      <c r="G5" s="1">
        <v>1164.57</v>
      </c>
    </row>
    <row r="6" spans="1:7" x14ac:dyDescent="0.25">
      <c r="A6" s="3" t="s">
        <v>10</v>
      </c>
      <c r="B6" s="3">
        <v>126.28</v>
      </c>
      <c r="C6" s="3">
        <v>119.66</v>
      </c>
      <c r="D6" s="3">
        <v>65.349999999999994</v>
      </c>
      <c r="E6" s="3">
        <v>55.09</v>
      </c>
      <c r="F6" s="3">
        <v>67</v>
      </c>
      <c r="G6" s="3">
        <v>118.83</v>
      </c>
    </row>
    <row r="7" spans="1:7" x14ac:dyDescent="0.25">
      <c r="A7" s="1" t="s">
        <v>11</v>
      </c>
      <c r="B7" s="1">
        <v>1243.8800000000001</v>
      </c>
      <c r="C7" s="1">
        <v>1153.6199999999999</v>
      </c>
      <c r="D7" s="1">
        <v>630.84</v>
      </c>
      <c r="E7" s="1">
        <v>513.11</v>
      </c>
      <c r="F7" s="1">
        <v>617.99</v>
      </c>
      <c r="G7" s="1">
        <v>1136.8900000000001</v>
      </c>
    </row>
    <row r="8" spans="1:7" x14ac:dyDescent="0.25">
      <c r="A8" s="1" t="s">
        <v>12</v>
      </c>
      <c r="B8" s="1">
        <v>124.39</v>
      </c>
      <c r="C8" s="1">
        <v>116.53</v>
      </c>
      <c r="D8" s="1">
        <v>63.72</v>
      </c>
      <c r="E8" s="1">
        <v>51.83</v>
      </c>
      <c r="F8" s="1">
        <v>62.42</v>
      </c>
      <c r="G8" s="1">
        <v>116.01</v>
      </c>
    </row>
    <row r="9" spans="1:7" x14ac:dyDescent="0.25">
      <c r="A9" s="1" t="s">
        <v>13</v>
      </c>
      <c r="B9" s="1">
        <v>1243.8800000000001</v>
      </c>
      <c r="C9" s="1">
        <v>1147.6500000000001</v>
      </c>
      <c r="D9" s="1">
        <v>625.70000000000005</v>
      </c>
      <c r="E9" s="1">
        <v>459.18</v>
      </c>
      <c r="F9" s="1">
        <v>-438.81</v>
      </c>
      <c r="G9" s="1">
        <v>937.41</v>
      </c>
    </row>
    <row r="10" spans="1:7" x14ac:dyDescent="0.25">
      <c r="A10" s="1" t="s">
        <v>14</v>
      </c>
      <c r="B10" s="1">
        <v>124.39</v>
      </c>
      <c r="C10" s="1">
        <v>115.92</v>
      </c>
      <c r="D10" s="1">
        <v>63.2</v>
      </c>
      <c r="E10" s="1">
        <v>46.38</v>
      </c>
      <c r="F10" s="1">
        <v>-44.32</v>
      </c>
      <c r="G10" s="1">
        <v>95.65</v>
      </c>
    </row>
    <row r="11" spans="1:7" x14ac:dyDescent="0.25">
      <c r="A11" s="1" t="s">
        <v>15</v>
      </c>
      <c r="B11" s="1">
        <v>994.42</v>
      </c>
      <c r="C11" s="1">
        <v>941.14</v>
      </c>
      <c r="D11" s="1">
        <v>543.69000000000005</v>
      </c>
      <c r="E11" s="1">
        <v>394.08</v>
      </c>
      <c r="F11" s="1">
        <v>311.33</v>
      </c>
      <c r="G11" s="1">
        <v>646.66999999999996</v>
      </c>
    </row>
    <row r="12" spans="1:7" x14ac:dyDescent="0.25">
      <c r="A12" s="1" t="s">
        <v>16</v>
      </c>
      <c r="B12" s="1">
        <v>393.95</v>
      </c>
      <c r="C12" s="1">
        <v>375.84</v>
      </c>
      <c r="D12" s="1">
        <v>352.53</v>
      </c>
      <c r="E12" s="1">
        <v>367.04</v>
      </c>
      <c r="F12" s="1">
        <v>349.6</v>
      </c>
      <c r="G12" s="1">
        <v>408.22</v>
      </c>
    </row>
    <row r="13" spans="1:7" x14ac:dyDescent="0.25">
      <c r="A13" s="1" t="s">
        <v>17</v>
      </c>
      <c r="B13" s="1">
        <v>44.9</v>
      </c>
      <c r="C13" s="1">
        <v>49.84</v>
      </c>
      <c r="D13" s="1">
        <v>36.04</v>
      </c>
      <c r="E13" s="1">
        <v>34.26</v>
      </c>
      <c r="F13" s="1">
        <v>30.7</v>
      </c>
      <c r="G13" s="1">
        <v>46.3</v>
      </c>
    </row>
    <row r="14" spans="1:7" x14ac:dyDescent="0.25">
      <c r="A14" s="1" t="s">
        <v>18</v>
      </c>
      <c r="B14" s="1">
        <v>87.72</v>
      </c>
      <c r="C14" s="1">
        <v>85.4</v>
      </c>
      <c r="D14" s="1">
        <v>69.72</v>
      </c>
      <c r="E14" s="1">
        <v>63.53</v>
      </c>
      <c r="F14" s="1">
        <v>86.14</v>
      </c>
      <c r="G14" s="1">
        <v>80.790000000000006</v>
      </c>
    </row>
    <row r="15" spans="1:7" x14ac:dyDescent="0.25">
      <c r="A15" s="1" t="s">
        <v>19</v>
      </c>
      <c r="B15" s="1">
        <v>4</v>
      </c>
      <c r="C15" s="1">
        <v>5</v>
      </c>
      <c r="D15" s="1">
        <v>1</v>
      </c>
      <c r="E15" s="1">
        <v>2</v>
      </c>
      <c r="F15" s="1">
        <v>3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1243.8800000000001</v>
      </c>
      <c r="C17" s="1">
        <v>1150.6400000000001</v>
      </c>
      <c r="D17" s="1">
        <v>628.27</v>
      </c>
      <c r="E17" s="1">
        <v>486.14</v>
      </c>
      <c r="F17" s="1">
        <v>89.59</v>
      </c>
      <c r="G17" s="1">
        <v>1037.1500000000001</v>
      </c>
    </row>
    <row r="18" spans="1:7" x14ac:dyDescent="0.25">
      <c r="A18" s="1" t="s">
        <v>22</v>
      </c>
      <c r="B18" s="1">
        <v>0</v>
      </c>
      <c r="C18" s="1">
        <v>2.98</v>
      </c>
      <c r="D18" s="1">
        <v>2.57</v>
      </c>
      <c r="E18" s="1">
        <v>26.97</v>
      </c>
      <c r="F18" s="1">
        <v>528.4</v>
      </c>
      <c r="G18" s="1">
        <v>99.74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3</v>
      </c>
      <c r="G19" s="1">
        <v>1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7.8</v>
      </c>
      <c r="G20" s="1">
        <v>1.1000000000000001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2.2000000000000002</v>
      </c>
      <c r="G21" s="1">
        <v>8.8000000000000007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6.3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3.1</v>
      </c>
      <c r="F25" s="1">
        <v>3.7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6.9</v>
      </c>
      <c r="F26" s="1">
        <v>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63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31</v>
      </c>
      <c r="F30" s="3">
        <f t="shared" si="2"/>
        <v>37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69</v>
      </c>
      <c r="F31" s="3">
        <f t="shared" si="3"/>
        <v>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124.06</v>
      </c>
      <c r="C33" s="3">
        <v>120.73</v>
      </c>
      <c r="D33" s="3">
        <v>65.150000000000006</v>
      </c>
      <c r="E33" s="3">
        <v>51.45</v>
      </c>
      <c r="F33" s="3">
        <v>-44.44</v>
      </c>
      <c r="G33" s="3">
        <v>82.51</v>
      </c>
    </row>
    <row r="35" spans="1:7" x14ac:dyDescent="0.25">
      <c r="A35" s="3" t="s">
        <v>36</v>
      </c>
      <c r="B35" s="3"/>
      <c r="C35" s="3"/>
      <c r="D35" s="3">
        <f>D33-C33</f>
        <v>-55.58</v>
      </c>
      <c r="E35" s="3"/>
      <c r="F35" s="3">
        <f>F33-E33</f>
        <v>-95.89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-13.700000000000003</v>
      </c>
      <c r="F37" s="3"/>
      <c r="G37" s="3">
        <f>G33-F33</f>
        <v>126.95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88B80-19F6-490E-9F5E-8B2D92AB9D8D}">
  <dimension ref="A1:G37"/>
  <sheetViews>
    <sheetView topLeftCell="A7" workbookViewId="0">
      <selection activeCell="K16" sqref="K16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685.6</v>
      </c>
      <c r="C2" s="1">
        <v>692.11</v>
      </c>
      <c r="D2" s="1">
        <v>696.04</v>
      </c>
      <c r="E2" s="1">
        <v>695.27</v>
      </c>
      <c r="F2" s="1">
        <v>724.3</v>
      </c>
      <c r="G2" s="1">
        <v>739.99</v>
      </c>
    </row>
    <row r="3" spans="1:7" x14ac:dyDescent="0.25">
      <c r="A3" s="1" t="s">
        <v>7</v>
      </c>
      <c r="B3" s="1">
        <v>58.95</v>
      </c>
      <c r="C3" s="1">
        <v>63.32</v>
      </c>
      <c r="D3" s="1">
        <v>61.07</v>
      </c>
      <c r="E3" s="1">
        <v>64.739999999999995</v>
      </c>
      <c r="F3" s="1">
        <v>65.28</v>
      </c>
      <c r="G3" s="1">
        <v>84.23</v>
      </c>
    </row>
    <row r="4" spans="1:7" x14ac:dyDescent="0.25">
      <c r="A4" s="1" t="s">
        <v>8</v>
      </c>
      <c r="B4" s="1">
        <v>41093.019999999997</v>
      </c>
      <c r="C4" s="1">
        <v>44563.91</v>
      </c>
      <c r="D4" s="1">
        <v>43237.35</v>
      </c>
      <c r="E4" s="1">
        <v>45751.39</v>
      </c>
      <c r="F4" s="1">
        <v>48081.52</v>
      </c>
      <c r="G4" s="1">
        <v>63434.77</v>
      </c>
    </row>
    <row r="5" spans="1:7" x14ac:dyDescent="0.25">
      <c r="A5" s="1" t="s">
        <v>9</v>
      </c>
      <c r="B5" s="1">
        <v>1006.16</v>
      </c>
      <c r="C5" s="1">
        <v>949.38</v>
      </c>
      <c r="D5" s="1">
        <v>623.57000000000005</v>
      </c>
      <c r="E5" s="1">
        <v>605.21</v>
      </c>
      <c r="F5" s="1">
        <v>529.46</v>
      </c>
      <c r="G5" s="1">
        <v>1089.52</v>
      </c>
    </row>
    <row r="6" spans="1:7" x14ac:dyDescent="0.25">
      <c r="A6" s="3" t="s">
        <v>10</v>
      </c>
      <c r="B6" s="3">
        <v>100.62</v>
      </c>
      <c r="C6" s="3">
        <v>95.9</v>
      </c>
      <c r="D6" s="3">
        <v>62.99</v>
      </c>
      <c r="E6" s="3">
        <v>61.13</v>
      </c>
      <c r="F6" s="3">
        <v>53.48</v>
      </c>
      <c r="G6" s="3">
        <v>111.18</v>
      </c>
    </row>
    <row r="7" spans="1:7" x14ac:dyDescent="0.25">
      <c r="A7" s="1" t="s">
        <v>11</v>
      </c>
      <c r="B7" s="1">
        <v>990.73</v>
      </c>
      <c r="C7" s="1">
        <v>922.04</v>
      </c>
      <c r="D7" s="1">
        <v>607.77</v>
      </c>
      <c r="E7" s="1">
        <v>595.97</v>
      </c>
      <c r="F7" s="1">
        <v>499.69</v>
      </c>
      <c r="G7" s="1">
        <v>1084.1600000000001</v>
      </c>
    </row>
    <row r="8" spans="1:7" x14ac:dyDescent="0.25">
      <c r="A8" s="1" t="s">
        <v>12</v>
      </c>
      <c r="B8" s="1">
        <v>99.07</v>
      </c>
      <c r="C8" s="1">
        <v>93.13</v>
      </c>
      <c r="D8" s="1">
        <v>61.39</v>
      </c>
      <c r="E8" s="1">
        <v>60.2</v>
      </c>
      <c r="F8" s="1">
        <v>50.47</v>
      </c>
      <c r="G8" s="1">
        <v>110.63</v>
      </c>
    </row>
    <row r="9" spans="1:7" x14ac:dyDescent="0.25">
      <c r="A9" s="1" t="s">
        <v>13</v>
      </c>
      <c r="B9" s="1">
        <v>990.73</v>
      </c>
      <c r="C9" s="1">
        <v>359.53</v>
      </c>
      <c r="D9" s="1">
        <v>519.28</v>
      </c>
      <c r="E9" s="1">
        <v>593.67999999999995</v>
      </c>
      <c r="F9" s="1">
        <v>266.52999999999997</v>
      </c>
      <c r="G9" s="1">
        <v>1084.1600000000001</v>
      </c>
    </row>
    <row r="10" spans="1:7" x14ac:dyDescent="0.25">
      <c r="A10" s="1" t="s">
        <v>14</v>
      </c>
      <c r="B10" s="1">
        <v>99.07</v>
      </c>
      <c r="C10" s="1">
        <v>36.32</v>
      </c>
      <c r="D10" s="1">
        <v>52.45</v>
      </c>
      <c r="E10" s="1">
        <v>59.97</v>
      </c>
      <c r="F10" s="1">
        <v>26.92</v>
      </c>
      <c r="G10" s="1">
        <v>110.63</v>
      </c>
    </row>
    <row r="11" spans="1:7" x14ac:dyDescent="0.25">
      <c r="A11" s="1" t="s">
        <v>15</v>
      </c>
      <c r="B11" s="1">
        <v>803.01</v>
      </c>
      <c r="C11" s="1">
        <v>166.59</v>
      </c>
      <c r="D11" s="1">
        <v>421.28</v>
      </c>
      <c r="E11" s="1">
        <v>467.31</v>
      </c>
      <c r="F11" s="1">
        <v>212.87</v>
      </c>
      <c r="G11" s="1">
        <v>858.36</v>
      </c>
    </row>
    <row r="12" spans="1:7" x14ac:dyDescent="0.25">
      <c r="A12" s="1" t="s">
        <v>16</v>
      </c>
      <c r="B12" s="1">
        <v>361.13</v>
      </c>
      <c r="C12" s="1">
        <v>370.36</v>
      </c>
      <c r="D12" s="1">
        <v>353.56</v>
      </c>
      <c r="E12" s="1">
        <v>360.79</v>
      </c>
      <c r="F12" s="1">
        <v>339.71</v>
      </c>
      <c r="G12" s="1">
        <v>362.59</v>
      </c>
    </row>
    <row r="13" spans="1:7" x14ac:dyDescent="0.25">
      <c r="A13" s="1" t="s">
        <v>17</v>
      </c>
      <c r="B13" s="1">
        <v>42.7</v>
      </c>
      <c r="C13" s="1">
        <v>62.79</v>
      </c>
      <c r="D13" s="1">
        <v>39.46</v>
      </c>
      <c r="E13" s="1">
        <v>45.01</v>
      </c>
      <c r="F13" s="1">
        <v>26.7</v>
      </c>
      <c r="G13" s="1">
        <v>54.02</v>
      </c>
    </row>
    <row r="14" spans="1:7" x14ac:dyDescent="0.25">
      <c r="A14" s="1" t="s">
        <v>18</v>
      </c>
      <c r="B14" s="1">
        <v>102.46</v>
      </c>
      <c r="C14" s="1">
        <v>113.37</v>
      </c>
      <c r="D14" s="1">
        <v>86.07</v>
      </c>
      <c r="E14" s="1">
        <v>96.28</v>
      </c>
      <c r="F14" s="1">
        <v>50.13</v>
      </c>
      <c r="G14" s="1">
        <v>114.22</v>
      </c>
    </row>
    <row r="15" spans="1:7" x14ac:dyDescent="0.25">
      <c r="A15" s="1" t="s">
        <v>19</v>
      </c>
      <c r="B15" s="1">
        <v>5</v>
      </c>
      <c r="C15" s="1">
        <v>3</v>
      </c>
      <c r="D15" s="1">
        <v>2</v>
      </c>
      <c r="E15" s="1">
        <v>1</v>
      </c>
      <c r="F15" s="1">
        <v>2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990.73</v>
      </c>
      <c r="C17" s="1">
        <v>640.78</v>
      </c>
      <c r="D17" s="1">
        <v>563.53</v>
      </c>
      <c r="E17" s="1">
        <v>594.83000000000004</v>
      </c>
      <c r="F17" s="1">
        <v>383.11</v>
      </c>
      <c r="G17" s="1">
        <v>1084.1600000000001</v>
      </c>
    </row>
    <row r="18" spans="1:7" x14ac:dyDescent="0.25">
      <c r="A18" s="1" t="s">
        <v>22</v>
      </c>
      <c r="B18" s="1">
        <v>0</v>
      </c>
      <c r="C18" s="1">
        <v>281.25</v>
      </c>
      <c r="D18" s="1">
        <v>44.24</v>
      </c>
      <c r="E18" s="1">
        <v>1.1399999999999999</v>
      </c>
      <c r="F18" s="1">
        <v>116.58</v>
      </c>
      <c r="G18" s="1">
        <v>0</v>
      </c>
    </row>
    <row r="19" spans="1:7" x14ac:dyDescent="0.25">
      <c r="A19" s="1" t="s">
        <v>23</v>
      </c>
      <c r="B19" s="1">
        <v>0</v>
      </c>
      <c r="C19" s="1">
        <v>1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2.4</v>
      </c>
      <c r="D20" s="1">
        <v>0</v>
      </c>
      <c r="E20" s="1">
        <v>0</v>
      </c>
      <c r="F20" s="1">
        <v>2.1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7.6</v>
      </c>
      <c r="D21" s="1">
        <v>10</v>
      </c>
      <c r="E21" s="1">
        <v>10</v>
      </c>
      <c r="F21" s="1">
        <v>7.9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2.2999999999999998</v>
      </c>
      <c r="D24" s="1">
        <v>0</v>
      </c>
      <c r="E24" s="1">
        <v>0</v>
      </c>
      <c r="F24" s="1">
        <v>1.5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2.1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7.7</v>
      </c>
      <c r="D26" s="1">
        <v>10</v>
      </c>
      <c r="E26" s="1">
        <v>10</v>
      </c>
      <c r="F26" s="1">
        <v>6.4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23</v>
      </c>
      <c r="D29" s="3">
        <f t="shared" si="1"/>
        <v>0</v>
      </c>
      <c r="E29" s="3">
        <f t="shared" si="1"/>
        <v>0</v>
      </c>
      <c r="F29" s="3">
        <f t="shared" si="1"/>
        <v>15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21.000000000000004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77</v>
      </c>
      <c r="D31" s="3">
        <f t="shared" si="3"/>
        <v>100</v>
      </c>
      <c r="E31" s="3">
        <f t="shared" si="3"/>
        <v>100</v>
      </c>
      <c r="F31" s="3">
        <f t="shared" si="3"/>
        <v>64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99.17</v>
      </c>
      <c r="C33" s="3">
        <v>20.13</v>
      </c>
      <c r="D33" s="3">
        <v>54.8</v>
      </c>
      <c r="E33" s="3">
        <v>56.74</v>
      </c>
      <c r="F33" s="3">
        <v>25.51</v>
      </c>
      <c r="G33" s="3">
        <v>111.62</v>
      </c>
    </row>
    <row r="35" spans="1:7" x14ac:dyDescent="0.25">
      <c r="A35" s="3" t="s">
        <v>36</v>
      </c>
      <c r="B35" s="3"/>
      <c r="C35" s="3"/>
      <c r="D35" s="3">
        <f>D33-C33</f>
        <v>34.67</v>
      </c>
      <c r="E35" s="3"/>
      <c r="F35" s="3">
        <f>F33-E33</f>
        <v>-31.23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1.9400000000000048</v>
      </c>
      <c r="F37" s="3"/>
      <c r="G37" s="3">
        <f>G33-F33</f>
        <v>86.11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21D59-B178-4146-AC70-756CCC9F47FC}">
  <dimension ref="A1:G37"/>
  <sheetViews>
    <sheetView topLeftCell="A13" workbookViewId="0">
      <selection activeCell="J18" sqref="J18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707.77</v>
      </c>
      <c r="C2" s="1">
        <v>660.49</v>
      </c>
      <c r="D2" s="1">
        <v>621.54</v>
      </c>
      <c r="E2" s="1">
        <v>701.59</v>
      </c>
      <c r="F2" s="1">
        <v>704.19</v>
      </c>
      <c r="G2" s="1">
        <v>621.59</v>
      </c>
    </row>
    <row r="3" spans="1:7" x14ac:dyDescent="0.25">
      <c r="A3" s="1" t="s">
        <v>7</v>
      </c>
      <c r="B3" s="1">
        <v>56.99</v>
      </c>
      <c r="C3" s="1">
        <v>53.53</v>
      </c>
      <c r="D3" s="1">
        <v>53.42</v>
      </c>
      <c r="E3" s="1">
        <v>56.85</v>
      </c>
      <c r="F3" s="1">
        <v>59.06</v>
      </c>
      <c r="G3" s="1">
        <v>53.94</v>
      </c>
    </row>
    <row r="4" spans="1:7" x14ac:dyDescent="0.25">
      <c r="A4" s="1" t="s">
        <v>8</v>
      </c>
      <c r="B4" s="1">
        <v>40991.360000000001</v>
      </c>
      <c r="C4" s="1">
        <v>35903.29</v>
      </c>
      <c r="D4" s="1">
        <v>33720.04</v>
      </c>
      <c r="E4" s="1">
        <v>40454.53</v>
      </c>
      <c r="F4" s="1">
        <v>42275.99</v>
      </c>
      <c r="G4" s="1">
        <v>33884.79</v>
      </c>
    </row>
    <row r="5" spans="1:7" x14ac:dyDescent="0.25">
      <c r="A5" s="1" t="s">
        <v>9</v>
      </c>
      <c r="B5" s="1">
        <v>1110.3</v>
      </c>
      <c r="C5" s="1">
        <v>1483.47</v>
      </c>
      <c r="D5" s="1">
        <v>614.29999999999995</v>
      </c>
      <c r="E5" s="1">
        <v>588.53</v>
      </c>
      <c r="F5" s="1">
        <v>558.39</v>
      </c>
      <c r="G5" s="1">
        <v>1359.82</v>
      </c>
    </row>
    <row r="6" spans="1:7" x14ac:dyDescent="0.25">
      <c r="A6" s="3" t="s">
        <v>10</v>
      </c>
      <c r="B6" s="3">
        <v>111.03</v>
      </c>
      <c r="C6" s="3">
        <v>149.85</v>
      </c>
      <c r="D6" s="3">
        <v>62.05</v>
      </c>
      <c r="E6" s="3">
        <v>59.45</v>
      </c>
      <c r="F6" s="3">
        <v>56.4</v>
      </c>
      <c r="G6" s="3">
        <v>138.76</v>
      </c>
    </row>
    <row r="7" spans="1:7" x14ac:dyDescent="0.25">
      <c r="A7" s="1" t="s">
        <v>11</v>
      </c>
      <c r="B7" s="1">
        <v>1090.8599999999999</v>
      </c>
      <c r="C7" s="1">
        <v>1402.24</v>
      </c>
      <c r="D7" s="1">
        <v>593.05999999999995</v>
      </c>
      <c r="E7" s="1">
        <v>577.89</v>
      </c>
      <c r="F7" s="1">
        <v>553</v>
      </c>
      <c r="G7" s="1">
        <v>1288.67</v>
      </c>
    </row>
    <row r="8" spans="1:7" x14ac:dyDescent="0.25">
      <c r="A8" s="1" t="s">
        <v>12</v>
      </c>
      <c r="B8" s="1">
        <v>109.09</v>
      </c>
      <c r="C8" s="1">
        <v>141.63999999999999</v>
      </c>
      <c r="D8" s="1">
        <v>59.91</v>
      </c>
      <c r="E8" s="1">
        <v>58.37</v>
      </c>
      <c r="F8" s="1">
        <v>55.86</v>
      </c>
      <c r="G8" s="1">
        <v>131.5</v>
      </c>
    </row>
    <row r="9" spans="1:7" x14ac:dyDescent="0.25">
      <c r="A9" s="1" t="s">
        <v>13</v>
      </c>
      <c r="B9" s="1">
        <v>1090.8599999999999</v>
      </c>
      <c r="C9" s="1">
        <v>1375.94</v>
      </c>
      <c r="D9" s="1">
        <v>573.92999999999995</v>
      </c>
      <c r="E9" s="1">
        <v>574.13</v>
      </c>
      <c r="F9" s="1">
        <v>-356.46</v>
      </c>
      <c r="G9" s="1">
        <v>980.43</v>
      </c>
    </row>
    <row r="10" spans="1:7" x14ac:dyDescent="0.25">
      <c r="A10" s="1" t="s">
        <v>14</v>
      </c>
      <c r="B10" s="1">
        <v>109.09</v>
      </c>
      <c r="C10" s="1">
        <v>138.97999999999999</v>
      </c>
      <c r="D10" s="1">
        <v>57.97</v>
      </c>
      <c r="E10" s="1">
        <v>57.99</v>
      </c>
      <c r="F10" s="1">
        <v>-36.01</v>
      </c>
      <c r="G10" s="1">
        <v>100.04</v>
      </c>
    </row>
    <row r="11" spans="1:7" x14ac:dyDescent="0.25">
      <c r="A11" s="1" t="s">
        <v>15</v>
      </c>
      <c r="B11" s="1">
        <v>910.59</v>
      </c>
      <c r="C11" s="1">
        <v>1166.8399999999999</v>
      </c>
      <c r="D11" s="1">
        <v>538.16999999999996</v>
      </c>
      <c r="E11" s="1">
        <v>429.4</v>
      </c>
      <c r="F11" s="1">
        <v>282.01</v>
      </c>
      <c r="G11" s="1">
        <v>174.79</v>
      </c>
    </row>
    <row r="12" spans="1:7" x14ac:dyDescent="0.25">
      <c r="A12" s="1" t="s">
        <v>16</v>
      </c>
      <c r="B12" s="1">
        <v>410.93</v>
      </c>
      <c r="C12" s="1">
        <v>407.41</v>
      </c>
      <c r="D12" s="1">
        <v>421.4</v>
      </c>
      <c r="E12" s="1">
        <v>388.6</v>
      </c>
      <c r="F12" s="1">
        <v>386</v>
      </c>
      <c r="G12" s="1">
        <v>357.13</v>
      </c>
    </row>
    <row r="13" spans="1:7" x14ac:dyDescent="0.25">
      <c r="A13" s="1" t="s">
        <v>17</v>
      </c>
      <c r="B13" s="1">
        <v>54.5</v>
      </c>
      <c r="C13" s="1">
        <v>40.43</v>
      </c>
      <c r="D13" s="1">
        <v>26.62</v>
      </c>
      <c r="E13" s="1">
        <v>58.08</v>
      </c>
      <c r="F13" s="1">
        <v>41.3</v>
      </c>
      <c r="G13" s="1">
        <v>66.77</v>
      </c>
    </row>
    <row r="14" spans="1:7" x14ac:dyDescent="0.25">
      <c r="A14" s="1" t="s">
        <v>18</v>
      </c>
      <c r="B14" s="1">
        <v>107.21</v>
      </c>
      <c r="C14" s="1">
        <v>89.46</v>
      </c>
      <c r="D14" s="1">
        <v>55.31</v>
      </c>
      <c r="E14" s="1">
        <v>104.99</v>
      </c>
      <c r="F14" s="1">
        <v>71.760000000000005</v>
      </c>
      <c r="G14" s="1">
        <v>130.66999999999999</v>
      </c>
    </row>
    <row r="15" spans="1:7" x14ac:dyDescent="0.25">
      <c r="A15" s="1" t="s">
        <v>19</v>
      </c>
      <c r="B15" s="1">
        <v>5</v>
      </c>
      <c r="C15" s="1">
        <v>5</v>
      </c>
      <c r="D15" s="1">
        <v>3</v>
      </c>
      <c r="E15" s="1">
        <v>2</v>
      </c>
      <c r="F15" s="1">
        <v>3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1090.8599999999999</v>
      </c>
      <c r="C17" s="1">
        <v>1389.09</v>
      </c>
      <c r="D17" s="1">
        <v>583.5</v>
      </c>
      <c r="E17" s="1">
        <v>576.01</v>
      </c>
      <c r="F17" s="1">
        <v>98.27</v>
      </c>
      <c r="G17" s="1">
        <v>1134.55</v>
      </c>
    </row>
    <row r="18" spans="1:7" x14ac:dyDescent="0.25">
      <c r="A18" s="1" t="s">
        <v>22</v>
      </c>
      <c r="B18" s="1">
        <v>0</v>
      </c>
      <c r="C18" s="1">
        <v>13.15</v>
      </c>
      <c r="D18" s="1">
        <v>9.56</v>
      </c>
      <c r="E18" s="1">
        <v>1.88</v>
      </c>
      <c r="F18" s="1">
        <v>454.73</v>
      </c>
      <c r="G18" s="1">
        <v>154.12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1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7.7</v>
      </c>
      <c r="G20" s="1">
        <v>1.2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2.2999999999999998</v>
      </c>
      <c r="G21" s="1">
        <v>8.6999999999999993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2.2000000000000002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6.9</v>
      </c>
      <c r="G24" s="1">
        <v>1.6</v>
      </c>
    </row>
    <row r="25" spans="1:7" x14ac:dyDescent="0.25">
      <c r="A25" s="1" t="s">
        <v>29</v>
      </c>
      <c r="B25" s="1">
        <v>0</v>
      </c>
      <c r="C25" s="1">
        <v>0</v>
      </c>
      <c r="D25" s="1">
        <v>4.4000000000000004</v>
      </c>
      <c r="E25" s="1">
        <v>1</v>
      </c>
      <c r="F25" s="1">
        <v>1.1000000000000001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5.6</v>
      </c>
      <c r="E26" s="1">
        <v>9</v>
      </c>
      <c r="F26" s="1">
        <v>2</v>
      </c>
      <c r="G26" s="1">
        <v>8.3000000000000007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69</v>
      </c>
      <c r="G29" s="3">
        <f t="shared" si="1"/>
        <v>16.161616161616163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44.000000000000007</v>
      </c>
      <c r="E30" s="3">
        <f t="shared" si="2"/>
        <v>10</v>
      </c>
      <c r="F30" s="3">
        <f t="shared" si="2"/>
        <v>11.000000000000002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55.999999999999993</v>
      </c>
      <c r="E31" s="3">
        <f t="shared" si="3"/>
        <v>90</v>
      </c>
      <c r="F31" s="3">
        <f t="shared" si="3"/>
        <v>20</v>
      </c>
      <c r="G31" s="3">
        <f t="shared" si="3"/>
        <v>83.838383838383848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109.21</v>
      </c>
      <c r="C33" s="3">
        <v>145.02000000000001</v>
      </c>
      <c r="D33" s="3">
        <v>60.56</v>
      </c>
      <c r="E33" s="3">
        <v>58.02</v>
      </c>
      <c r="F33" s="3">
        <v>-34.119999999999997</v>
      </c>
      <c r="G33" s="3">
        <v>106.53</v>
      </c>
    </row>
    <row r="35" spans="1:7" x14ac:dyDescent="0.25">
      <c r="A35" s="3" t="s">
        <v>36</v>
      </c>
      <c r="B35" s="3"/>
      <c r="C35" s="3"/>
      <c r="D35" s="3">
        <f>D33-C33</f>
        <v>-84.460000000000008</v>
      </c>
      <c r="E35" s="3"/>
      <c r="F35" s="3">
        <f>F33-E33</f>
        <v>-92.14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-2.5399999999999991</v>
      </c>
      <c r="F37" s="3"/>
      <c r="G37" s="3">
        <f>G33-F33</f>
        <v>140.65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66E8E-DF05-4BE2-B27F-35C25D321717}">
  <dimension ref="A1:G37"/>
  <sheetViews>
    <sheetView topLeftCell="A7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710.81</v>
      </c>
      <c r="C2" s="1">
        <v>737.15</v>
      </c>
      <c r="D2" s="1">
        <v>711.33</v>
      </c>
      <c r="E2" s="1">
        <v>753.46</v>
      </c>
      <c r="F2" s="1">
        <v>742.24</v>
      </c>
      <c r="G2" s="1">
        <v>719.41</v>
      </c>
    </row>
    <row r="3" spans="1:7" x14ac:dyDescent="0.25">
      <c r="A3" s="1" t="s">
        <v>7</v>
      </c>
      <c r="B3" s="1">
        <v>52.67</v>
      </c>
      <c r="C3" s="1">
        <v>54.52</v>
      </c>
      <c r="D3" s="1">
        <v>52.85</v>
      </c>
      <c r="E3" s="1">
        <v>59.76</v>
      </c>
      <c r="F3" s="1">
        <v>59.93</v>
      </c>
      <c r="G3" s="1">
        <v>56.56</v>
      </c>
    </row>
    <row r="4" spans="1:7" x14ac:dyDescent="0.25">
      <c r="A4" s="1" t="s">
        <v>8</v>
      </c>
      <c r="B4" s="1">
        <v>38067.660000000003</v>
      </c>
      <c r="C4" s="1">
        <v>40860.69</v>
      </c>
      <c r="D4" s="1">
        <v>38171.96</v>
      </c>
      <c r="E4" s="1">
        <v>45772.98</v>
      </c>
      <c r="F4" s="1">
        <v>45222.15</v>
      </c>
      <c r="G4" s="1">
        <v>41345.79</v>
      </c>
    </row>
    <row r="5" spans="1:7" x14ac:dyDescent="0.25">
      <c r="A5" s="1" t="s">
        <v>9</v>
      </c>
      <c r="B5" s="1">
        <v>2461.06</v>
      </c>
      <c r="C5" s="1">
        <v>1844.24</v>
      </c>
      <c r="D5" s="1">
        <v>830.43</v>
      </c>
      <c r="E5" s="1">
        <v>851.63</v>
      </c>
      <c r="F5" s="1">
        <v>694.09</v>
      </c>
      <c r="G5" s="1">
        <v>1770.4</v>
      </c>
    </row>
    <row r="6" spans="1:7" x14ac:dyDescent="0.25">
      <c r="A6" s="3" t="s">
        <v>10</v>
      </c>
      <c r="B6" s="3">
        <v>246.11</v>
      </c>
      <c r="C6" s="3">
        <v>186.29</v>
      </c>
      <c r="D6" s="3">
        <v>83.88</v>
      </c>
      <c r="E6" s="3">
        <v>86.02</v>
      </c>
      <c r="F6" s="3">
        <v>70.11</v>
      </c>
      <c r="G6" s="3">
        <v>180.65</v>
      </c>
    </row>
    <row r="7" spans="1:7" x14ac:dyDescent="0.25">
      <c r="A7" s="1" t="s">
        <v>11</v>
      </c>
      <c r="B7" s="1">
        <v>2282.7399999999998</v>
      </c>
      <c r="C7" s="1">
        <v>1787.1</v>
      </c>
      <c r="D7" s="1">
        <v>802.21</v>
      </c>
      <c r="E7" s="1">
        <v>836.86</v>
      </c>
      <c r="F7" s="1">
        <v>683.43</v>
      </c>
      <c r="G7" s="1">
        <v>1730.26</v>
      </c>
    </row>
    <row r="8" spans="1:7" x14ac:dyDescent="0.25">
      <c r="A8" s="1" t="s">
        <v>12</v>
      </c>
      <c r="B8" s="1">
        <v>228.27</v>
      </c>
      <c r="C8" s="1">
        <v>180.52</v>
      </c>
      <c r="D8" s="1">
        <v>81.03</v>
      </c>
      <c r="E8" s="1">
        <v>84.53</v>
      </c>
      <c r="F8" s="1">
        <v>69.03</v>
      </c>
      <c r="G8" s="1">
        <v>176.56</v>
      </c>
    </row>
    <row r="9" spans="1:7" x14ac:dyDescent="0.25">
      <c r="A9" s="1" t="s">
        <v>13</v>
      </c>
      <c r="B9" s="1">
        <v>2282.7399999999998</v>
      </c>
      <c r="C9" s="1">
        <v>1750.94</v>
      </c>
      <c r="D9" s="1">
        <v>663.68</v>
      </c>
      <c r="E9" s="1">
        <v>829.92</v>
      </c>
      <c r="F9" s="1">
        <v>525.67999999999995</v>
      </c>
      <c r="G9" s="1">
        <v>1730.26</v>
      </c>
    </row>
    <row r="10" spans="1:7" x14ac:dyDescent="0.25">
      <c r="A10" s="1" t="s">
        <v>14</v>
      </c>
      <c r="B10" s="1">
        <v>228.27</v>
      </c>
      <c r="C10" s="1">
        <v>176.86</v>
      </c>
      <c r="D10" s="1">
        <v>67.040000000000006</v>
      </c>
      <c r="E10" s="1">
        <v>83.83</v>
      </c>
      <c r="F10" s="1">
        <v>53.1</v>
      </c>
      <c r="G10" s="1">
        <v>176.56</v>
      </c>
    </row>
    <row r="11" spans="1:7" x14ac:dyDescent="0.25">
      <c r="A11" s="1" t="s">
        <v>15</v>
      </c>
      <c r="B11" s="1">
        <v>1925.49</v>
      </c>
      <c r="C11" s="1">
        <v>1466.28</v>
      </c>
      <c r="D11" s="1">
        <v>608.72</v>
      </c>
      <c r="E11" s="1">
        <v>748.19</v>
      </c>
      <c r="F11" s="1">
        <v>357.45</v>
      </c>
      <c r="G11" s="1">
        <v>1401.67</v>
      </c>
    </row>
    <row r="12" spans="1:7" x14ac:dyDescent="0.25">
      <c r="A12" s="1" t="s">
        <v>16</v>
      </c>
      <c r="B12" s="1">
        <v>436.37</v>
      </c>
      <c r="C12" s="1">
        <v>424.43</v>
      </c>
      <c r="D12" s="1">
        <v>369.37</v>
      </c>
      <c r="E12" s="1">
        <v>401.48</v>
      </c>
      <c r="F12" s="1">
        <v>429.08</v>
      </c>
      <c r="G12" s="1">
        <v>405.69</v>
      </c>
    </row>
    <row r="13" spans="1:7" x14ac:dyDescent="0.25">
      <c r="A13" s="1" t="s">
        <v>17</v>
      </c>
      <c r="B13" s="1">
        <v>43.91</v>
      </c>
      <c r="C13" s="1">
        <v>50.93</v>
      </c>
      <c r="D13" s="1">
        <v>45.97</v>
      </c>
      <c r="E13" s="1">
        <v>38.4</v>
      </c>
      <c r="F13" s="1">
        <v>55.45</v>
      </c>
      <c r="G13" s="1">
        <v>47.03</v>
      </c>
    </row>
    <row r="14" spans="1:7" x14ac:dyDescent="0.25">
      <c r="A14" s="1" t="s">
        <v>18</v>
      </c>
      <c r="B14" s="1">
        <v>104.45</v>
      </c>
      <c r="C14" s="1">
        <v>113.38</v>
      </c>
      <c r="D14" s="1">
        <v>82.71</v>
      </c>
      <c r="E14" s="1">
        <v>62.97</v>
      </c>
      <c r="F14" s="1">
        <v>113.58</v>
      </c>
      <c r="G14" s="1">
        <v>112.58</v>
      </c>
    </row>
    <row r="15" spans="1:7" x14ac:dyDescent="0.25">
      <c r="A15" s="1" t="s">
        <v>19</v>
      </c>
      <c r="B15" s="1">
        <v>9</v>
      </c>
      <c r="C15" s="1">
        <v>7</v>
      </c>
      <c r="D15" s="1">
        <v>3</v>
      </c>
      <c r="E15" s="1">
        <v>4</v>
      </c>
      <c r="F15" s="1">
        <v>2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2282.7399999999998</v>
      </c>
      <c r="C17" s="1">
        <v>1769.02</v>
      </c>
      <c r="D17" s="1">
        <v>732.95</v>
      </c>
      <c r="E17" s="1">
        <v>833.39</v>
      </c>
      <c r="F17" s="1">
        <v>604.55999999999995</v>
      </c>
      <c r="G17" s="1">
        <v>1730.26</v>
      </c>
    </row>
    <row r="18" spans="1:7" x14ac:dyDescent="0.25">
      <c r="A18" s="1" t="s">
        <v>22</v>
      </c>
      <c r="B18" s="1">
        <v>0</v>
      </c>
      <c r="C18" s="1">
        <v>18.079999999999998</v>
      </c>
      <c r="D18" s="1">
        <v>69.27</v>
      </c>
      <c r="E18" s="1">
        <v>3.47</v>
      </c>
      <c r="F18" s="1">
        <v>78.87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2.9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7.1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2.5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1.8</v>
      </c>
      <c r="E25" s="1">
        <v>0</v>
      </c>
      <c r="F25" s="1">
        <v>1.2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8.1999999999999993</v>
      </c>
      <c r="E26" s="1">
        <v>10</v>
      </c>
      <c r="F26" s="1">
        <v>6.3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25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18</v>
      </c>
      <c r="E30" s="3">
        <f t="shared" si="2"/>
        <v>0</v>
      </c>
      <c r="F30" s="3">
        <f t="shared" si="2"/>
        <v>12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82</v>
      </c>
      <c r="E31" s="3">
        <f t="shared" si="3"/>
        <v>100</v>
      </c>
      <c r="F31" s="3">
        <f t="shared" si="3"/>
        <v>63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240.72</v>
      </c>
      <c r="C33" s="3">
        <v>180.67</v>
      </c>
      <c r="D33" s="3">
        <v>73.569999999999993</v>
      </c>
      <c r="E33" s="3">
        <v>85.56</v>
      </c>
      <c r="F33" s="3">
        <v>45.04</v>
      </c>
      <c r="G33" s="3">
        <v>182.76</v>
      </c>
    </row>
    <row r="35" spans="1:7" x14ac:dyDescent="0.25">
      <c r="A35" s="3" t="s">
        <v>36</v>
      </c>
      <c r="B35" s="3"/>
      <c r="C35" s="3"/>
      <c r="D35" s="3">
        <f>D33-C33</f>
        <v>-107.1</v>
      </c>
      <c r="E35" s="3"/>
      <c r="F35" s="3">
        <f>F33-E33</f>
        <v>-40.520000000000003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11.990000000000009</v>
      </c>
      <c r="F37" s="3"/>
      <c r="G37" s="3">
        <f>G33-F33</f>
        <v>137.72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BB385-3AD0-478A-A078-A3DBE3146235}">
  <dimension ref="A1:G37"/>
  <sheetViews>
    <sheetView topLeftCell="A7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684.49</v>
      </c>
      <c r="C2" s="1">
        <v>687.01</v>
      </c>
      <c r="D2" s="1">
        <v>668.16</v>
      </c>
      <c r="E2" s="1">
        <v>676.96</v>
      </c>
      <c r="F2" s="1">
        <v>682.54</v>
      </c>
      <c r="G2" s="1">
        <v>731.13</v>
      </c>
    </row>
    <row r="3" spans="1:7" x14ac:dyDescent="0.25">
      <c r="A3" s="1" t="s">
        <v>7</v>
      </c>
      <c r="B3" s="1">
        <v>55.21</v>
      </c>
      <c r="C3" s="1">
        <v>56.65</v>
      </c>
      <c r="D3" s="1">
        <v>56.69</v>
      </c>
      <c r="E3" s="1">
        <v>55.41</v>
      </c>
      <c r="F3" s="1">
        <v>59.23</v>
      </c>
      <c r="G3" s="1">
        <v>64.62</v>
      </c>
    </row>
    <row r="4" spans="1:7" x14ac:dyDescent="0.25">
      <c r="A4" s="1" t="s">
        <v>8</v>
      </c>
      <c r="B4" s="1">
        <v>38421.379999999997</v>
      </c>
      <c r="C4" s="1">
        <v>39569</v>
      </c>
      <c r="D4" s="1">
        <v>38495.96</v>
      </c>
      <c r="E4" s="1">
        <v>38147.07</v>
      </c>
      <c r="F4" s="1">
        <v>41108.269999999997</v>
      </c>
      <c r="G4" s="1">
        <v>48050.22</v>
      </c>
    </row>
    <row r="5" spans="1:7" x14ac:dyDescent="0.25">
      <c r="A5" s="1" t="s">
        <v>9</v>
      </c>
      <c r="B5" s="1">
        <v>1567.43</v>
      </c>
      <c r="C5" s="1">
        <v>1543.36</v>
      </c>
      <c r="D5" s="1">
        <v>586.52</v>
      </c>
      <c r="E5" s="1">
        <v>709.79</v>
      </c>
      <c r="F5" s="1">
        <v>999.25</v>
      </c>
      <c r="G5" s="1">
        <v>1807.8</v>
      </c>
    </row>
    <row r="6" spans="1:7" x14ac:dyDescent="0.25">
      <c r="A6" s="3" t="s">
        <v>10</v>
      </c>
      <c r="B6" s="3">
        <v>156.74</v>
      </c>
      <c r="C6" s="3">
        <v>155.88999999999999</v>
      </c>
      <c r="D6" s="3">
        <v>59.24</v>
      </c>
      <c r="E6" s="3">
        <v>71.7</v>
      </c>
      <c r="F6" s="3">
        <v>100.93</v>
      </c>
      <c r="G6" s="3">
        <v>184.47</v>
      </c>
    </row>
    <row r="7" spans="1:7" x14ac:dyDescent="0.25">
      <c r="A7" s="1" t="s">
        <v>11</v>
      </c>
      <c r="B7" s="1">
        <v>1500.11</v>
      </c>
      <c r="C7" s="1">
        <v>1476.54</v>
      </c>
      <c r="D7" s="1">
        <v>570.05999999999995</v>
      </c>
      <c r="E7" s="1">
        <v>696.4</v>
      </c>
      <c r="F7" s="1">
        <v>967.11</v>
      </c>
      <c r="G7" s="1">
        <v>1797.8</v>
      </c>
    </row>
    <row r="8" spans="1:7" x14ac:dyDescent="0.25">
      <c r="A8" s="1" t="s">
        <v>12</v>
      </c>
      <c r="B8" s="1">
        <v>150.01</v>
      </c>
      <c r="C8" s="1">
        <v>149.15</v>
      </c>
      <c r="D8" s="1">
        <v>57.58</v>
      </c>
      <c r="E8" s="1">
        <v>70.34</v>
      </c>
      <c r="F8" s="1">
        <v>97.69</v>
      </c>
      <c r="G8" s="1">
        <v>183.45</v>
      </c>
    </row>
    <row r="9" spans="1:7" x14ac:dyDescent="0.25">
      <c r="A9" s="1" t="s">
        <v>13</v>
      </c>
      <c r="B9" s="1">
        <v>1500.11</v>
      </c>
      <c r="C9" s="1">
        <v>1476.54</v>
      </c>
      <c r="D9" s="1">
        <v>518.47</v>
      </c>
      <c r="E9" s="1">
        <v>686.36</v>
      </c>
      <c r="F9" s="1">
        <v>-693.85</v>
      </c>
      <c r="G9" s="1">
        <v>1797.8</v>
      </c>
    </row>
    <row r="10" spans="1:7" x14ac:dyDescent="0.25">
      <c r="A10" s="1" t="s">
        <v>14</v>
      </c>
      <c r="B10" s="1">
        <v>150.01</v>
      </c>
      <c r="C10" s="1">
        <v>149.15</v>
      </c>
      <c r="D10" s="1">
        <v>52.37</v>
      </c>
      <c r="E10" s="1">
        <v>69.33</v>
      </c>
      <c r="F10" s="1">
        <v>-70.09</v>
      </c>
      <c r="G10" s="1">
        <v>183.45</v>
      </c>
    </row>
    <row r="11" spans="1:7" x14ac:dyDescent="0.25">
      <c r="A11" s="1" t="s">
        <v>15</v>
      </c>
      <c r="B11" s="1">
        <v>1232.8399999999999</v>
      </c>
      <c r="C11" s="1">
        <v>1225.82</v>
      </c>
      <c r="D11" s="1">
        <v>488.28</v>
      </c>
      <c r="E11" s="1">
        <v>594.01</v>
      </c>
      <c r="F11" s="1">
        <v>433.34</v>
      </c>
      <c r="G11" s="1">
        <v>1516.06</v>
      </c>
    </row>
    <row r="12" spans="1:7" x14ac:dyDescent="0.25">
      <c r="A12" s="1" t="s">
        <v>16</v>
      </c>
      <c r="B12" s="1">
        <v>419.27</v>
      </c>
      <c r="C12" s="1">
        <v>406.07</v>
      </c>
      <c r="D12" s="1">
        <v>393.11</v>
      </c>
      <c r="E12" s="1">
        <v>414.94</v>
      </c>
      <c r="F12" s="1">
        <v>386.38</v>
      </c>
      <c r="G12" s="1">
        <v>418.23</v>
      </c>
    </row>
    <row r="13" spans="1:7" x14ac:dyDescent="0.25">
      <c r="A13" s="1" t="s">
        <v>17</v>
      </c>
      <c r="B13" s="1">
        <v>43.34</v>
      </c>
      <c r="C13" s="1">
        <v>43.94</v>
      </c>
      <c r="D13" s="1">
        <v>53.26</v>
      </c>
      <c r="E13" s="1">
        <v>34.880000000000003</v>
      </c>
      <c r="F13" s="1">
        <v>64.84</v>
      </c>
      <c r="G13" s="1">
        <v>48.35</v>
      </c>
    </row>
    <row r="14" spans="1:7" x14ac:dyDescent="0.25">
      <c r="A14" s="1" t="s">
        <v>18</v>
      </c>
      <c r="B14" s="1">
        <v>101.11</v>
      </c>
      <c r="C14" s="1">
        <v>97.24</v>
      </c>
      <c r="D14" s="1">
        <v>83.5</v>
      </c>
      <c r="E14" s="1">
        <v>76.459999999999994</v>
      </c>
      <c r="F14" s="1">
        <v>122.2</v>
      </c>
      <c r="G14" s="1">
        <v>94.66</v>
      </c>
    </row>
    <row r="15" spans="1:7" x14ac:dyDescent="0.25">
      <c r="A15" s="1" t="s">
        <v>19</v>
      </c>
      <c r="B15" s="1">
        <v>5</v>
      </c>
      <c r="C15" s="1">
        <v>7</v>
      </c>
      <c r="D15" s="1">
        <v>1</v>
      </c>
      <c r="E15" s="1">
        <v>3</v>
      </c>
      <c r="F15" s="1">
        <v>3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1500.11</v>
      </c>
      <c r="C17" s="1">
        <v>1476.54</v>
      </c>
      <c r="D17" s="1">
        <v>544.26</v>
      </c>
      <c r="E17" s="1">
        <v>691.38</v>
      </c>
      <c r="F17" s="1">
        <v>136.63</v>
      </c>
      <c r="G17" s="1">
        <v>1797.8</v>
      </c>
    </row>
    <row r="18" spans="1:7" x14ac:dyDescent="0.25">
      <c r="A18" s="1" t="s">
        <v>22</v>
      </c>
      <c r="B18" s="1">
        <v>0</v>
      </c>
      <c r="C18" s="1">
        <v>0</v>
      </c>
      <c r="D18" s="1">
        <v>25.8</v>
      </c>
      <c r="E18" s="1">
        <v>5.0199999999999996</v>
      </c>
      <c r="F18" s="1">
        <v>830.48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5.6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4.4000000000000004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5.0999999999999996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2.7</v>
      </c>
      <c r="E25" s="1">
        <v>0</v>
      </c>
      <c r="F25" s="1">
        <v>2.2000000000000002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7.3</v>
      </c>
      <c r="E26" s="1">
        <v>10</v>
      </c>
      <c r="F26" s="1">
        <v>2.7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51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27</v>
      </c>
      <c r="E30" s="3">
        <f t="shared" si="2"/>
        <v>0</v>
      </c>
      <c r="F30" s="3">
        <f t="shared" si="2"/>
        <v>22.000000000000004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73</v>
      </c>
      <c r="E31" s="3">
        <f t="shared" si="3"/>
        <v>100</v>
      </c>
      <c r="F31" s="3">
        <f t="shared" si="3"/>
        <v>27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155.57</v>
      </c>
      <c r="C33" s="3">
        <v>158.36000000000001</v>
      </c>
      <c r="D33" s="3">
        <v>51.46</v>
      </c>
      <c r="E33" s="3">
        <v>70.92</v>
      </c>
      <c r="F33" s="3">
        <v>-50.76</v>
      </c>
      <c r="G33" s="3">
        <v>182.87</v>
      </c>
    </row>
    <row r="35" spans="1:7" x14ac:dyDescent="0.25">
      <c r="A35" s="3" t="s">
        <v>36</v>
      </c>
      <c r="B35" s="3"/>
      <c r="C35" s="3"/>
      <c r="D35" s="3">
        <f>D33-C33</f>
        <v>-106.9</v>
      </c>
      <c r="E35" s="3"/>
      <c r="F35" s="3">
        <f>F33-E33</f>
        <v>-121.68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19.46</v>
      </c>
      <c r="F37" s="3"/>
      <c r="G37" s="3">
        <f>G33-F33</f>
        <v>233.63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3EDEA-117A-4E70-9630-0134A013D2CF}">
  <dimension ref="A1:G37"/>
  <sheetViews>
    <sheetView tabSelected="1" topLeftCell="A7" workbookViewId="0">
      <selection activeCell="M15" sqref="M15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670.9</v>
      </c>
      <c r="C2" s="1">
        <v>705.1</v>
      </c>
      <c r="D2" s="1">
        <v>718.48</v>
      </c>
      <c r="E2" s="1">
        <v>688.75</v>
      </c>
      <c r="F2" s="1">
        <v>667.13</v>
      </c>
      <c r="G2" s="1">
        <v>625.38</v>
      </c>
    </row>
    <row r="3" spans="1:7" x14ac:dyDescent="0.25">
      <c r="A3" s="1" t="s">
        <v>7</v>
      </c>
      <c r="B3" s="1">
        <v>56.86</v>
      </c>
      <c r="C3" s="1">
        <v>56.3</v>
      </c>
      <c r="D3" s="1">
        <v>56.81</v>
      </c>
      <c r="E3" s="1">
        <v>58.39</v>
      </c>
      <c r="F3" s="1">
        <v>58.43</v>
      </c>
      <c r="G3" s="1">
        <v>51.5</v>
      </c>
    </row>
    <row r="4" spans="1:7" x14ac:dyDescent="0.25">
      <c r="A4" s="1" t="s">
        <v>8</v>
      </c>
      <c r="B4" s="1">
        <v>38713.1</v>
      </c>
      <c r="C4" s="1">
        <v>40345.97</v>
      </c>
      <c r="D4" s="1">
        <v>41502.29</v>
      </c>
      <c r="E4" s="1">
        <v>40847.29</v>
      </c>
      <c r="F4" s="1">
        <v>39625.9</v>
      </c>
      <c r="G4" s="1">
        <v>32706.77</v>
      </c>
    </row>
    <row r="5" spans="1:7" x14ac:dyDescent="0.25">
      <c r="A5" s="1" t="s">
        <v>9</v>
      </c>
      <c r="B5" s="1">
        <v>1061.08</v>
      </c>
      <c r="C5" s="1">
        <v>1377.51</v>
      </c>
      <c r="D5" s="1">
        <v>646.49</v>
      </c>
      <c r="E5" s="1">
        <v>469.38</v>
      </c>
      <c r="F5" s="1">
        <v>680.08</v>
      </c>
      <c r="G5" s="1">
        <v>1524.75</v>
      </c>
    </row>
    <row r="6" spans="1:7" x14ac:dyDescent="0.25">
      <c r="A6" s="3" t="s">
        <v>10</v>
      </c>
      <c r="B6" s="3">
        <v>106.11</v>
      </c>
      <c r="C6" s="3">
        <v>139.13999999999999</v>
      </c>
      <c r="D6" s="3">
        <v>65.3</v>
      </c>
      <c r="E6" s="3">
        <v>47.41</v>
      </c>
      <c r="F6" s="3">
        <v>68.69</v>
      </c>
      <c r="G6" s="3">
        <v>155.59</v>
      </c>
    </row>
    <row r="7" spans="1:7" x14ac:dyDescent="0.25">
      <c r="A7" s="1" t="s">
        <v>11</v>
      </c>
      <c r="B7" s="1">
        <v>1015.1</v>
      </c>
      <c r="C7" s="1">
        <v>1363.85</v>
      </c>
      <c r="D7" s="1">
        <v>639.44000000000005</v>
      </c>
      <c r="E7" s="1">
        <v>457.52</v>
      </c>
      <c r="F7" s="1">
        <v>667.39</v>
      </c>
      <c r="G7" s="1">
        <v>1448.13</v>
      </c>
    </row>
    <row r="8" spans="1:7" x14ac:dyDescent="0.25">
      <c r="A8" s="1" t="s">
        <v>12</v>
      </c>
      <c r="B8" s="1">
        <v>101.51</v>
      </c>
      <c r="C8" s="1">
        <v>137.76</v>
      </c>
      <c r="D8" s="1">
        <v>64.59</v>
      </c>
      <c r="E8" s="1">
        <v>46.21</v>
      </c>
      <c r="F8" s="1">
        <v>67.41</v>
      </c>
      <c r="G8" s="1">
        <v>147.77000000000001</v>
      </c>
    </row>
    <row r="9" spans="1:7" x14ac:dyDescent="0.25">
      <c r="A9" s="1" t="s">
        <v>13</v>
      </c>
      <c r="B9" s="1">
        <v>371.34</v>
      </c>
      <c r="C9" s="1">
        <v>1363.85</v>
      </c>
      <c r="D9" s="1">
        <v>609.79999999999995</v>
      </c>
      <c r="E9" s="1">
        <v>409.79</v>
      </c>
      <c r="F9" s="1">
        <v>-456.58</v>
      </c>
      <c r="G9" s="1">
        <v>1444.04</v>
      </c>
    </row>
    <row r="10" spans="1:7" x14ac:dyDescent="0.25">
      <c r="A10" s="1" t="s">
        <v>14</v>
      </c>
      <c r="B10" s="1">
        <v>37.130000000000003</v>
      </c>
      <c r="C10" s="1">
        <v>137.76</v>
      </c>
      <c r="D10" s="1">
        <v>61.6</v>
      </c>
      <c r="E10" s="1">
        <v>41.39</v>
      </c>
      <c r="F10" s="1">
        <v>-46.12</v>
      </c>
      <c r="G10" s="1">
        <v>147.35</v>
      </c>
    </row>
    <row r="11" spans="1:7" x14ac:dyDescent="0.25">
      <c r="A11" s="1" t="s">
        <v>15</v>
      </c>
      <c r="B11" s="1">
        <v>223.35</v>
      </c>
      <c r="C11" s="1">
        <v>1173.6300000000001</v>
      </c>
      <c r="D11" s="1">
        <v>542.4</v>
      </c>
      <c r="E11" s="1">
        <v>364.25</v>
      </c>
      <c r="F11" s="1">
        <v>359.87</v>
      </c>
      <c r="G11" s="1">
        <v>1299.29</v>
      </c>
    </row>
    <row r="12" spans="1:7" x14ac:dyDescent="0.25">
      <c r="A12" s="1" t="s">
        <v>16</v>
      </c>
      <c r="B12" s="1">
        <v>349.93</v>
      </c>
      <c r="C12" s="1">
        <v>403.35</v>
      </c>
      <c r="D12" s="1">
        <v>404.53</v>
      </c>
      <c r="E12" s="1">
        <v>373.57</v>
      </c>
      <c r="F12" s="1">
        <v>403.93</v>
      </c>
      <c r="G12" s="1">
        <v>421.64</v>
      </c>
    </row>
    <row r="13" spans="1:7" x14ac:dyDescent="0.25">
      <c r="A13" s="1" t="s">
        <v>17</v>
      </c>
      <c r="B13" s="1">
        <v>96.25</v>
      </c>
      <c r="C13" s="1">
        <v>53.49</v>
      </c>
      <c r="D13" s="1">
        <v>46.45</v>
      </c>
      <c r="E13" s="1">
        <v>40.56</v>
      </c>
      <c r="F13" s="1">
        <v>27.77</v>
      </c>
      <c r="G13" s="1">
        <v>42.14</v>
      </c>
    </row>
    <row r="14" spans="1:7" x14ac:dyDescent="0.25">
      <c r="A14" s="1" t="s">
        <v>18</v>
      </c>
      <c r="B14" s="1">
        <v>133.06</v>
      </c>
      <c r="C14" s="1">
        <v>92.59</v>
      </c>
      <c r="D14" s="1">
        <v>83.75</v>
      </c>
      <c r="E14" s="1">
        <v>68.260000000000005</v>
      </c>
      <c r="F14" s="1">
        <v>101.89</v>
      </c>
      <c r="G14" s="1">
        <v>100.2</v>
      </c>
    </row>
    <row r="15" spans="1:7" x14ac:dyDescent="0.25">
      <c r="A15" s="1" t="s">
        <v>19</v>
      </c>
      <c r="B15" s="1">
        <v>2</v>
      </c>
      <c r="C15" s="1">
        <v>7</v>
      </c>
      <c r="D15" s="1">
        <v>3</v>
      </c>
      <c r="E15" s="1">
        <v>3</v>
      </c>
      <c r="F15" s="1">
        <v>2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693.22</v>
      </c>
      <c r="C17" s="1">
        <v>1363.85</v>
      </c>
      <c r="D17" s="1">
        <v>624.62</v>
      </c>
      <c r="E17" s="1">
        <v>433.66</v>
      </c>
      <c r="F17" s="1">
        <v>105.4</v>
      </c>
      <c r="G17" s="1">
        <v>1446.08</v>
      </c>
    </row>
    <row r="18" spans="1:7" x14ac:dyDescent="0.25">
      <c r="A18" s="1" t="s">
        <v>22</v>
      </c>
      <c r="B18" s="1">
        <v>321.88</v>
      </c>
      <c r="C18" s="1">
        <v>0</v>
      </c>
      <c r="D18" s="1">
        <v>14.82</v>
      </c>
      <c r="E18" s="1">
        <v>23.87</v>
      </c>
      <c r="F18" s="1">
        <v>561.98</v>
      </c>
      <c r="G18" s="1">
        <v>2.04</v>
      </c>
    </row>
    <row r="19" spans="1:7" x14ac:dyDescent="0.25">
      <c r="A19" s="1" t="s">
        <v>23</v>
      </c>
      <c r="B19" s="1">
        <v>2</v>
      </c>
      <c r="C19" s="1">
        <v>0</v>
      </c>
      <c r="D19" s="1">
        <v>0</v>
      </c>
      <c r="E19" s="1">
        <v>0</v>
      </c>
      <c r="F19" s="1">
        <v>2</v>
      </c>
      <c r="G19" s="1">
        <v>0</v>
      </c>
    </row>
    <row r="20" spans="1:7" x14ac:dyDescent="0.25">
      <c r="A20" s="1" t="s">
        <v>24</v>
      </c>
      <c r="B20" s="1">
        <v>4.5</v>
      </c>
      <c r="C20" s="1">
        <v>0</v>
      </c>
      <c r="D20" s="1">
        <v>0</v>
      </c>
      <c r="E20" s="1">
        <v>0</v>
      </c>
      <c r="F20" s="1">
        <v>6.2</v>
      </c>
      <c r="G20" s="1">
        <v>0</v>
      </c>
    </row>
    <row r="21" spans="1:7" x14ac:dyDescent="0.25">
      <c r="A21" s="1" t="s">
        <v>25</v>
      </c>
      <c r="B21" s="1">
        <v>5.6</v>
      </c>
      <c r="C21" s="1">
        <v>10</v>
      </c>
      <c r="D21" s="1">
        <v>10</v>
      </c>
      <c r="E21" s="1">
        <v>10</v>
      </c>
      <c r="F21" s="1">
        <v>3.8</v>
      </c>
      <c r="G21" s="1">
        <v>9.9</v>
      </c>
    </row>
    <row r="22" spans="1:7" x14ac:dyDescent="0.25">
      <c r="A22" s="1" t="s">
        <v>26</v>
      </c>
      <c r="B22" s="1">
        <v>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4.0999999999999996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4.3</v>
      </c>
      <c r="C24" s="1">
        <v>0</v>
      </c>
      <c r="D24" s="1">
        <v>0</v>
      </c>
      <c r="E24" s="1">
        <v>0</v>
      </c>
      <c r="F24" s="1">
        <v>4.8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1.4</v>
      </c>
      <c r="E25" s="1">
        <v>3</v>
      </c>
      <c r="F25" s="1">
        <v>5.2</v>
      </c>
      <c r="G25" s="1">
        <v>0</v>
      </c>
    </row>
    <row r="26" spans="1:7" x14ac:dyDescent="0.25">
      <c r="A26" s="1" t="s">
        <v>30</v>
      </c>
      <c r="B26" s="1">
        <v>5.8</v>
      </c>
      <c r="C26" s="1">
        <v>10</v>
      </c>
      <c r="D26" s="1">
        <v>8.6</v>
      </c>
      <c r="E26" s="1">
        <v>7</v>
      </c>
      <c r="F26" s="1">
        <v>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42.574257425742573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48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13.999999999999998</v>
      </c>
      <c r="E30" s="3">
        <f t="shared" si="2"/>
        <v>30</v>
      </c>
      <c r="F30" s="3">
        <f t="shared" si="2"/>
        <v>52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57.42574257425742</v>
      </c>
      <c r="C31" s="3">
        <f t="shared" ref="C31:G31" si="3">C26/C28*100</f>
        <v>100</v>
      </c>
      <c r="D31" s="3">
        <f t="shared" si="3"/>
        <v>86</v>
      </c>
      <c r="E31" s="3">
        <f t="shared" si="3"/>
        <v>70</v>
      </c>
      <c r="F31" s="3">
        <f t="shared" si="3"/>
        <v>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-1.99</v>
      </c>
      <c r="C33" s="3">
        <v>139.72999999999999</v>
      </c>
      <c r="D33" s="3">
        <v>63.67</v>
      </c>
      <c r="E33" s="3">
        <v>41.87</v>
      </c>
      <c r="F33" s="3">
        <v>-40.35</v>
      </c>
      <c r="G33" s="3">
        <v>152.65</v>
      </c>
    </row>
    <row r="35" spans="1:7" x14ac:dyDescent="0.25">
      <c r="A35" s="3" t="s">
        <v>36</v>
      </c>
      <c r="B35" s="3"/>
      <c r="C35" s="3"/>
      <c r="D35" s="3">
        <f>D33-C33</f>
        <v>-76.059999999999988</v>
      </c>
      <c r="E35" s="3"/>
      <c r="F35" s="3">
        <f>F33-E33</f>
        <v>-82.22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-21.800000000000004</v>
      </c>
      <c r="F37" s="3"/>
      <c r="G37" s="3">
        <f>G33-F33</f>
        <v>193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828FB-F41D-4D41-B5F7-0F9961986132}">
  <dimension ref="A1:G37"/>
  <sheetViews>
    <sheetView workbookViewId="0">
      <selection activeCell="J13" sqref="J1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240610B001.1</vt:lpstr>
      <vt:lpstr>240610B001.2</vt:lpstr>
      <vt:lpstr>240610B001.3</vt:lpstr>
      <vt:lpstr>240610B002.1</vt:lpstr>
      <vt:lpstr>240610B002.2</vt:lpstr>
      <vt:lpstr>240610B003.2</vt:lpstr>
      <vt:lpstr>240610B003.3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2024-06-28T18:44:59Z</dcterms:created>
  <dcterms:modified xsi:type="dcterms:W3CDTF">2024-07-02T19:14:41Z</dcterms:modified>
</cp:coreProperties>
</file>