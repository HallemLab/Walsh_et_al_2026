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17\WormLab Data\"/>
    </mc:Choice>
  </mc:AlternateContent>
  <xr:revisionPtr revIDLastSave="0" documentId="13_ncr:1_{BD2CC048-0456-43F5-A83A-E163B4B03830}" xr6:coauthVersionLast="47" xr6:coauthVersionMax="47" xr10:uidLastSave="{00000000-0000-0000-0000-000000000000}"/>
  <bookViews>
    <workbookView xWindow="1464" yWindow="1464" windowWidth="21036" windowHeight="11256" activeTab="3" xr2:uid="{8977BF7A-D799-4A9E-8279-41831A40527D}"/>
  </bookViews>
  <sheets>
    <sheet name="240617B001.1" sheetId="2" r:id="rId1"/>
    <sheet name="240617B001.2" sheetId="3" r:id="rId2"/>
    <sheet name="240617B001.3" sheetId="4" r:id="rId3"/>
    <sheet name="240617B002.1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F31" i="5"/>
  <c r="E31" i="5"/>
  <c r="B31" i="5"/>
  <c r="E30" i="5"/>
  <c r="D30" i="5"/>
  <c r="C30" i="5"/>
  <c r="B30" i="5"/>
  <c r="E29" i="5"/>
  <c r="G28" i="5"/>
  <c r="G31" i="5" s="1"/>
  <c r="F28" i="5"/>
  <c r="F30" i="5" s="1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28" i="4"/>
  <c r="G30" i="4" s="1"/>
  <c r="F28" i="4"/>
  <c r="F30" i="4" s="1"/>
  <c r="E28" i="4"/>
  <c r="E30" i="4" s="1"/>
  <c r="D28" i="4"/>
  <c r="D29" i="4" s="1"/>
  <c r="C28" i="4"/>
  <c r="C29" i="4" s="1"/>
  <c r="B28" i="4"/>
  <c r="B29" i="4" s="1"/>
  <c r="G37" i="3"/>
  <c r="E37" i="3"/>
  <c r="C37" i="3"/>
  <c r="F35" i="3"/>
  <c r="D35" i="3"/>
  <c r="G31" i="3"/>
  <c r="F31" i="3"/>
  <c r="E31" i="3"/>
  <c r="G28" i="3"/>
  <c r="G30" i="3" s="1"/>
  <c r="F28" i="3"/>
  <c r="F30" i="3" s="1"/>
  <c r="E28" i="3"/>
  <c r="E30" i="3" s="1"/>
  <c r="D28" i="3"/>
  <c r="D29" i="3" s="1"/>
  <c r="C28" i="3"/>
  <c r="C29" i="3" s="1"/>
  <c r="B28" i="3"/>
  <c r="B29" i="3" s="1"/>
  <c r="G37" i="2"/>
  <c r="E37" i="2"/>
  <c r="C37" i="2"/>
  <c r="F35" i="2"/>
  <c r="D35" i="2"/>
  <c r="E31" i="2"/>
  <c r="D31" i="2"/>
  <c r="F30" i="2"/>
  <c r="E30" i="2"/>
  <c r="D30" i="2"/>
  <c r="C30" i="2"/>
  <c r="F29" i="2"/>
  <c r="G28" i="2"/>
  <c r="G31" i="2" s="1"/>
  <c r="F28" i="2"/>
  <c r="F31" i="2" s="1"/>
  <c r="E28" i="2"/>
  <c r="E29" i="2" s="1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G28" i="1"/>
  <c r="G29" i="1" s="1"/>
  <c r="F28" i="1"/>
  <c r="F30" i="1" s="1"/>
  <c r="E28" i="1"/>
  <c r="E30" i="1" s="1"/>
  <c r="D28" i="1"/>
  <c r="D30" i="1" s="1"/>
  <c r="C28" i="1"/>
  <c r="C30" i="1" s="1"/>
  <c r="B28" i="1"/>
  <c r="B30" i="1" s="1"/>
  <c r="F29" i="5" l="1"/>
  <c r="G29" i="5"/>
  <c r="G30" i="5"/>
  <c r="C31" i="5"/>
  <c r="D31" i="5"/>
  <c r="E31" i="4"/>
  <c r="F31" i="4"/>
  <c r="G31" i="4"/>
  <c r="E29" i="4"/>
  <c r="F29" i="4"/>
  <c r="G29" i="4"/>
  <c r="B30" i="4"/>
  <c r="C30" i="4"/>
  <c r="D30" i="4"/>
  <c r="B31" i="4"/>
  <c r="C31" i="4"/>
  <c r="D31" i="4"/>
  <c r="E29" i="3"/>
  <c r="F29" i="3"/>
  <c r="G29" i="3"/>
  <c r="B30" i="3"/>
  <c r="C30" i="3"/>
  <c r="D30" i="3"/>
  <c r="B31" i="3"/>
  <c r="C31" i="3"/>
  <c r="D31" i="3"/>
  <c r="G29" i="2"/>
  <c r="B30" i="2"/>
  <c r="G30" i="2"/>
  <c r="B31" i="2"/>
  <c r="C31" i="2"/>
  <c r="C29" i="1"/>
  <c r="D29" i="1"/>
  <c r="E29" i="1"/>
  <c r="F29" i="1"/>
  <c r="B29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<sst xmlns="http://schemas.openxmlformats.org/spreadsheetml/2006/main" count="190" uniqueCount="37">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</sst>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6A3E-4A6D-452A-BC53-A04EACB6C65A}">
  <dimension ref="A1:G37"/>
  <sheetViews>
    <sheetView zoomScale="70" zoomScaleNormal="70" workbookViewId="0">
      <selection activeCell="J15" sqref="J1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597.29</v>
      </c>
      <c r="C2" s="1">
        <v>602.33000000000004</v>
      </c>
      <c r="D2" s="1">
        <v>643.27</v>
      </c>
      <c r="E2" s="1">
        <v>640.63</v>
      </c>
      <c r="F2" s="1">
        <v>600.97</v>
      </c>
      <c r="G2" s="1">
        <v>581.24</v>
      </c>
    </row>
    <row r="3" spans="1:7" x14ac:dyDescent="0.3">
      <c r="A3" s="1" t="s">
        <v>7</v>
      </c>
      <c r="B3" s="1">
        <v>45.72</v>
      </c>
      <c r="C3" s="1">
        <v>50.3</v>
      </c>
      <c r="D3" s="1">
        <v>51.72</v>
      </c>
      <c r="E3" s="1">
        <v>50.68</v>
      </c>
      <c r="F3" s="1">
        <v>50.41</v>
      </c>
      <c r="G3" s="1">
        <v>50.24</v>
      </c>
    </row>
    <row r="4" spans="1:7" x14ac:dyDescent="0.3">
      <c r="A4" s="1" t="s">
        <v>8</v>
      </c>
      <c r="B4" s="1">
        <v>27778.3</v>
      </c>
      <c r="C4" s="1">
        <v>30782.32</v>
      </c>
      <c r="D4" s="1">
        <v>33842.980000000003</v>
      </c>
      <c r="E4" s="1">
        <v>32994.39</v>
      </c>
      <c r="F4" s="1">
        <v>30775.61</v>
      </c>
      <c r="G4" s="1">
        <v>29777.39</v>
      </c>
    </row>
    <row r="5" spans="1:7" x14ac:dyDescent="0.3">
      <c r="A5" s="1" t="s">
        <v>9</v>
      </c>
      <c r="B5" s="1">
        <v>976.41</v>
      </c>
      <c r="C5" s="1">
        <v>1080.83</v>
      </c>
      <c r="D5" s="1">
        <v>559.98</v>
      </c>
      <c r="E5" s="1">
        <v>483.27</v>
      </c>
      <c r="F5" s="1">
        <v>514.13</v>
      </c>
      <c r="G5" s="1">
        <v>1021.06</v>
      </c>
    </row>
    <row r="6" spans="1:7" x14ac:dyDescent="0.3">
      <c r="A6" s="3" t="s">
        <v>10</v>
      </c>
      <c r="B6" s="3">
        <v>97.64</v>
      </c>
      <c r="C6" s="3">
        <v>109.17</v>
      </c>
      <c r="D6" s="3">
        <v>56.56</v>
      </c>
      <c r="E6" s="3">
        <v>48.82</v>
      </c>
      <c r="F6" s="3">
        <v>51.93</v>
      </c>
      <c r="G6" s="3">
        <v>104.19</v>
      </c>
    </row>
    <row r="7" spans="1:7" x14ac:dyDescent="0.3">
      <c r="A7" s="1" t="s">
        <v>11</v>
      </c>
      <c r="B7" s="1">
        <v>927.22</v>
      </c>
      <c r="C7" s="1">
        <v>1062.1099999999999</v>
      </c>
      <c r="D7" s="1">
        <v>555.42999999999995</v>
      </c>
      <c r="E7" s="1">
        <v>470.62</v>
      </c>
      <c r="F7" s="1">
        <v>504.54</v>
      </c>
      <c r="G7" s="1">
        <v>846.63</v>
      </c>
    </row>
    <row r="8" spans="1:7" x14ac:dyDescent="0.3">
      <c r="A8" s="1" t="s">
        <v>12</v>
      </c>
      <c r="B8" s="1">
        <v>92.72</v>
      </c>
      <c r="C8" s="1">
        <v>107.28</v>
      </c>
      <c r="D8" s="1">
        <v>56.1</v>
      </c>
      <c r="E8" s="1">
        <v>47.54</v>
      </c>
      <c r="F8" s="1">
        <v>50.96</v>
      </c>
      <c r="G8" s="1">
        <v>86.39</v>
      </c>
    </row>
    <row r="9" spans="1:7" x14ac:dyDescent="0.3">
      <c r="A9" s="1" t="s">
        <v>13</v>
      </c>
      <c r="B9" s="1">
        <v>579.77</v>
      </c>
      <c r="C9" s="1">
        <v>967.85</v>
      </c>
      <c r="D9" s="1">
        <v>476.02</v>
      </c>
      <c r="E9" s="1">
        <v>267.95</v>
      </c>
      <c r="F9" s="1">
        <v>-247.03</v>
      </c>
      <c r="G9" s="1">
        <v>-346.74</v>
      </c>
    </row>
    <row r="10" spans="1:7" x14ac:dyDescent="0.3">
      <c r="A10" s="1" t="s">
        <v>14</v>
      </c>
      <c r="B10" s="1">
        <v>57.98</v>
      </c>
      <c r="C10" s="1">
        <v>97.76</v>
      </c>
      <c r="D10" s="1">
        <v>48.08</v>
      </c>
      <c r="E10" s="1">
        <v>27.07</v>
      </c>
      <c r="F10" s="1">
        <v>-24.95</v>
      </c>
      <c r="G10" s="1">
        <v>-35.380000000000003</v>
      </c>
    </row>
    <row r="11" spans="1:7" x14ac:dyDescent="0.3">
      <c r="A11" s="1" t="s">
        <v>15</v>
      </c>
      <c r="B11" s="1">
        <v>277.39999999999998</v>
      </c>
      <c r="C11" s="1">
        <v>844.49</v>
      </c>
      <c r="D11" s="1">
        <v>413.46</v>
      </c>
      <c r="E11" s="1">
        <v>227.02</v>
      </c>
      <c r="F11" s="1">
        <v>99.75</v>
      </c>
      <c r="G11" s="1">
        <v>160.24</v>
      </c>
    </row>
    <row r="12" spans="1:7" x14ac:dyDescent="0.3">
      <c r="A12" s="1" t="s">
        <v>16</v>
      </c>
      <c r="B12" s="1">
        <v>312.44</v>
      </c>
      <c r="C12" s="1">
        <v>326.27</v>
      </c>
      <c r="D12" s="1">
        <v>315.88</v>
      </c>
      <c r="E12" s="1">
        <v>347.78</v>
      </c>
      <c r="F12" s="1">
        <v>314.63</v>
      </c>
      <c r="G12" s="1">
        <v>275.3</v>
      </c>
    </row>
    <row r="13" spans="1:7" x14ac:dyDescent="0.3">
      <c r="A13" s="1" t="s">
        <v>17</v>
      </c>
      <c r="B13" s="1">
        <v>49.14</v>
      </c>
      <c r="C13" s="1">
        <v>47.79</v>
      </c>
      <c r="D13" s="1">
        <v>22.24</v>
      </c>
      <c r="E13" s="1">
        <v>20.36</v>
      </c>
      <c r="F13" s="1">
        <v>34.590000000000003</v>
      </c>
      <c r="G13" s="1">
        <v>81.38</v>
      </c>
    </row>
    <row r="14" spans="1:7" x14ac:dyDescent="0.3">
      <c r="A14" s="1" t="s">
        <v>18</v>
      </c>
      <c r="B14" s="1">
        <v>124.42</v>
      </c>
      <c r="C14" s="1">
        <v>96.24</v>
      </c>
      <c r="D14" s="1">
        <v>48.36</v>
      </c>
      <c r="E14" s="1">
        <v>44.11</v>
      </c>
      <c r="F14" s="1">
        <v>68.849999999999994</v>
      </c>
      <c r="G14" s="1">
        <v>122.52</v>
      </c>
    </row>
    <row r="15" spans="1:7" x14ac:dyDescent="0.3">
      <c r="A15" s="1" t="s">
        <v>19</v>
      </c>
      <c r="B15" s="1">
        <v>2</v>
      </c>
      <c r="C15" s="1">
        <v>5</v>
      </c>
      <c r="D15" s="1">
        <v>2</v>
      </c>
      <c r="E15" s="1">
        <v>1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753.49</v>
      </c>
      <c r="C17" s="1">
        <v>1014.98</v>
      </c>
      <c r="D17" s="1">
        <v>515.72</v>
      </c>
      <c r="E17" s="1">
        <v>369.29</v>
      </c>
      <c r="F17" s="1">
        <v>128.76</v>
      </c>
      <c r="G17" s="1">
        <v>249.95</v>
      </c>
    </row>
    <row r="18" spans="1:7" x14ac:dyDescent="0.3">
      <c r="A18" s="1" t="s">
        <v>22</v>
      </c>
      <c r="B18" s="1">
        <v>173.72</v>
      </c>
      <c r="C18" s="1">
        <v>47.13</v>
      </c>
      <c r="D18" s="1">
        <v>39.700000000000003</v>
      </c>
      <c r="E18" s="1">
        <v>101.34</v>
      </c>
      <c r="F18" s="1">
        <v>375.79</v>
      </c>
      <c r="G18" s="1">
        <v>596.67999999999995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1</v>
      </c>
      <c r="G19" s="1">
        <v>2</v>
      </c>
    </row>
    <row r="20" spans="1:7" x14ac:dyDescent="0.3">
      <c r="A20" s="1" t="s">
        <v>24</v>
      </c>
      <c r="B20" s="1">
        <v>1.8</v>
      </c>
      <c r="C20" s="1">
        <v>0</v>
      </c>
      <c r="D20" s="1">
        <v>0</v>
      </c>
      <c r="E20" s="1">
        <v>1</v>
      </c>
      <c r="F20" s="1">
        <v>4.4000000000000004</v>
      </c>
      <c r="G20" s="1">
        <v>4.2</v>
      </c>
    </row>
    <row r="21" spans="1:7" x14ac:dyDescent="0.3">
      <c r="A21" s="1" t="s">
        <v>25</v>
      </c>
      <c r="B21" s="1">
        <v>8.3000000000000007</v>
      </c>
      <c r="C21" s="1">
        <v>10</v>
      </c>
      <c r="D21" s="1">
        <v>10</v>
      </c>
      <c r="E21" s="1">
        <v>9</v>
      </c>
      <c r="F21" s="1">
        <v>5.6</v>
      </c>
      <c r="G21" s="1">
        <v>5.7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2.1</v>
      </c>
      <c r="C24" s="1">
        <v>0</v>
      </c>
      <c r="D24" s="1">
        <v>0</v>
      </c>
      <c r="E24" s="1">
        <v>0</v>
      </c>
      <c r="F24" s="1">
        <v>4.9000000000000004</v>
      </c>
      <c r="G24" s="1">
        <v>3.7</v>
      </c>
    </row>
    <row r="25" spans="1:7" x14ac:dyDescent="0.3">
      <c r="A25" s="1" t="s">
        <v>29</v>
      </c>
      <c r="B25" s="1">
        <v>0</v>
      </c>
      <c r="C25" s="1">
        <v>0</v>
      </c>
      <c r="D25" s="1">
        <v>1.4</v>
      </c>
      <c r="E25" s="1">
        <v>4</v>
      </c>
      <c r="F25" s="1">
        <v>3.6</v>
      </c>
      <c r="G25" s="1">
        <v>1.8</v>
      </c>
    </row>
    <row r="26" spans="1:7" x14ac:dyDescent="0.3">
      <c r="A26" s="1" t="s">
        <v>30</v>
      </c>
      <c r="B26" s="1">
        <v>8</v>
      </c>
      <c r="C26" s="1">
        <v>10</v>
      </c>
      <c r="D26" s="1">
        <v>8.6</v>
      </c>
      <c r="E26" s="1">
        <v>6</v>
      </c>
      <c r="F26" s="1">
        <v>1.5</v>
      </c>
      <c r="G26" s="1">
        <v>4.4000000000000004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20.792079207920793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49.000000000000007</v>
      </c>
      <c r="G29" s="3">
        <f t="shared" si="1"/>
        <v>37.373737373737377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13.999999999999998</v>
      </c>
      <c r="E30" s="3">
        <f t="shared" si="2"/>
        <v>40</v>
      </c>
      <c r="F30" s="3">
        <f t="shared" si="2"/>
        <v>36</v>
      </c>
      <c r="G30" s="3">
        <f t="shared" si="2"/>
        <v>18.181818181818183</v>
      </c>
    </row>
    <row r="31" spans="1:7" x14ac:dyDescent="0.3">
      <c r="A31" s="3" t="s">
        <v>34</v>
      </c>
      <c r="B31" s="3">
        <f>B26/B28*100</f>
        <v>79.207920792079207</v>
      </c>
      <c r="C31" s="3">
        <f t="shared" ref="C31:G31" si="3">C26/C28*100</f>
        <v>100</v>
      </c>
      <c r="D31" s="3">
        <f t="shared" si="3"/>
        <v>86</v>
      </c>
      <c r="E31" s="3">
        <f t="shared" si="3"/>
        <v>60</v>
      </c>
      <c r="F31" s="3">
        <f t="shared" si="3"/>
        <v>15</v>
      </c>
      <c r="G31" s="3">
        <f t="shared" si="3"/>
        <v>44.44444444444445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54.56</v>
      </c>
      <c r="C33" s="3">
        <v>102.24</v>
      </c>
      <c r="D33" s="3">
        <v>48.76</v>
      </c>
      <c r="E33" s="3">
        <v>25.96</v>
      </c>
      <c r="F33" s="3">
        <v>-12.67</v>
      </c>
      <c r="G33" s="3">
        <v>-12.99</v>
      </c>
    </row>
    <row r="35" spans="1:7" x14ac:dyDescent="0.3">
      <c r="A35" s="3" t="s">
        <v>36</v>
      </c>
      <c r="B35" s="3"/>
      <c r="C35" s="3"/>
      <c r="D35" s="3">
        <f>D33-C33</f>
        <v>-53.48</v>
      </c>
      <c r="E35" s="3"/>
      <c r="F35" s="3">
        <f>F33-E33</f>
        <v>-38.630000000000003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-22.799999999999997</v>
      </c>
      <c r="F37" s="3"/>
      <c r="G37" s="3">
        <f>G33-F33</f>
        <v>-0.32000000000000028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9815-A48C-4FDA-8EE5-CB0D05B6B4FD}">
  <dimension ref="A1:G37"/>
  <sheetViews>
    <sheetView topLeftCell="A2"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682.35</v>
      </c>
      <c r="C2" s="1">
        <v>668.25</v>
      </c>
      <c r="D2" s="1">
        <v>688.13</v>
      </c>
      <c r="E2" s="1">
        <v>704.03</v>
      </c>
      <c r="F2" s="1">
        <v>694.18</v>
      </c>
      <c r="G2" s="1">
        <v>685.74</v>
      </c>
    </row>
    <row r="3" spans="1:7" x14ac:dyDescent="0.3">
      <c r="A3" s="1" t="s">
        <v>7</v>
      </c>
      <c r="B3" s="1">
        <v>55.95</v>
      </c>
      <c r="C3" s="1">
        <v>54.32</v>
      </c>
      <c r="D3" s="1">
        <v>55.32</v>
      </c>
      <c r="E3" s="1">
        <v>61.99</v>
      </c>
      <c r="F3" s="1">
        <v>62.68</v>
      </c>
      <c r="G3" s="1">
        <v>55.81</v>
      </c>
    </row>
    <row r="4" spans="1:7" x14ac:dyDescent="0.3">
      <c r="A4" s="1" t="s">
        <v>8</v>
      </c>
      <c r="B4" s="1">
        <v>38813.949999999997</v>
      </c>
      <c r="C4" s="1">
        <v>36863.589999999997</v>
      </c>
      <c r="D4" s="1">
        <v>38722.82</v>
      </c>
      <c r="E4" s="1">
        <v>44408.6</v>
      </c>
      <c r="F4" s="1">
        <v>44210.43</v>
      </c>
      <c r="G4" s="1">
        <v>38917.47</v>
      </c>
    </row>
    <row r="5" spans="1:7" x14ac:dyDescent="0.3">
      <c r="A5" s="1" t="s">
        <v>9</v>
      </c>
      <c r="B5" s="1">
        <v>1256.46</v>
      </c>
      <c r="C5" s="1">
        <v>1294.19</v>
      </c>
      <c r="D5" s="1">
        <v>474.34</v>
      </c>
      <c r="E5" s="1">
        <v>439.46</v>
      </c>
      <c r="F5" s="1">
        <v>589.27</v>
      </c>
      <c r="G5" s="1">
        <v>1404.51</v>
      </c>
    </row>
    <row r="6" spans="1:7" x14ac:dyDescent="0.3">
      <c r="A6" s="3" t="s">
        <v>10</v>
      </c>
      <c r="B6" s="3">
        <v>125.65</v>
      </c>
      <c r="C6" s="3">
        <v>130.72999999999999</v>
      </c>
      <c r="D6" s="3">
        <v>47.91</v>
      </c>
      <c r="E6" s="3">
        <v>44.39</v>
      </c>
      <c r="F6" s="3">
        <v>59.52</v>
      </c>
      <c r="G6" s="3">
        <v>143.32</v>
      </c>
    </row>
    <row r="7" spans="1:7" x14ac:dyDescent="0.3">
      <c r="A7" s="1" t="s">
        <v>11</v>
      </c>
      <c r="B7" s="1">
        <v>1212.8900000000001</v>
      </c>
      <c r="C7" s="1">
        <v>1227.1400000000001</v>
      </c>
      <c r="D7" s="1">
        <v>454.8</v>
      </c>
      <c r="E7" s="1">
        <v>427.47</v>
      </c>
      <c r="F7" s="1">
        <v>566.1</v>
      </c>
      <c r="G7" s="1">
        <v>1308.02</v>
      </c>
    </row>
    <row r="8" spans="1:7" x14ac:dyDescent="0.3">
      <c r="A8" s="1" t="s">
        <v>12</v>
      </c>
      <c r="B8" s="1">
        <v>121.29</v>
      </c>
      <c r="C8" s="1">
        <v>123.95</v>
      </c>
      <c r="D8" s="1">
        <v>45.94</v>
      </c>
      <c r="E8" s="1">
        <v>43.18</v>
      </c>
      <c r="F8" s="1">
        <v>57.18</v>
      </c>
      <c r="G8" s="1">
        <v>133.47</v>
      </c>
    </row>
    <row r="9" spans="1:7" x14ac:dyDescent="0.3">
      <c r="A9" s="1" t="s">
        <v>13</v>
      </c>
      <c r="B9" s="1">
        <v>1191.29</v>
      </c>
      <c r="C9" s="1">
        <v>1171.01</v>
      </c>
      <c r="D9" s="1">
        <v>406.2</v>
      </c>
      <c r="E9" s="1">
        <v>405.65</v>
      </c>
      <c r="F9" s="1">
        <v>-307.51</v>
      </c>
      <c r="G9" s="1">
        <v>1246.05</v>
      </c>
    </row>
    <row r="10" spans="1:7" x14ac:dyDescent="0.3">
      <c r="A10" s="1" t="s">
        <v>14</v>
      </c>
      <c r="B10" s="1">
        <v>119.13</v>
      </c>
      <c r="C10" s="1">
        <v>118.28</v>
      </c>
      <c r="D10" s="1">
        <v>41.03</v>
      </c>
      <c r="E10" s="1">
        <v>40.97</v>
      </c>
      <c r="F10" s="1">
        <v>-31.06</v>
      </c>
      <c r="G10" s="1">
        <v>127.15</v>
      </c>
    </row>
    <row r="11" spans="1:7" x14ac:dyDescent="0.3">
      <c r="A11" s="1" t="s">
        <v>15</v>
      </c>
      <c r="B11" s="1">
        <v>923.14</v>
      </c>
      <c r="C11" s="1">
        <v>860.49</v>
      </c>
      <c r="D11" s="1">
        <v>322.8</v>
      </c>
      <c r="E11" s="1">
        <v>288.39</v>
      </c>
      <c r="F11" s="1">
        <v>197.95</v>
      </c>
      <c r="G11" s="1">
        <v>915.15</v>
      </c>
    </row>
    <row r="12" spans="1:7" x14ac:dyDescent="0.3">
      <c r="A12" s="1" t="s">
        <v>16</v>
      </c>
      <c r="B12" s="1">
        <v>370.89</v>
      </c>
      <c r="C12" s="1">
        <v>357.92</v>
      </c>
      <c r="D12" s="1">
        <v>412.78</v>
      </c>
      <c r="E12" s="1">
        <v>325.67</v>
      </c>
      <c r="F12" s="1">
        <v>365.88</v>
      </c>
      <c r="G12" s="1">
        <v>339.46</v>
      </c>
    </row>
    <row r="13" spans="1:7" x14ac:dyDescent="0.3">
      <c r="A13" s="1" t="s">
        <v>17</v>
      </c>
      <c r="B13" s="1">
        <v>50.01</v>
      </c>
      <c r="C13" s="1">
        <v>46.61</v>
      </c>
      <c r="D13" s="1">
        <v>46.15</v>
      </c>
      <c r="E13" s="1">
        <v>41.79</v>
      </c>
      <c r="F13" s="1">
        <v>58.54</v>
      </c>
      <c r="G13" s="1">
        <v>54.69</v>
      </c>
    </row>
    <row r="14" spans="1:7" x14ac:dyDescent="0.3">
      <c r="A14" s="1" t="s">
        <v>18</v>
      </c>
      <c r="B14" s="1">
        <v>102.62</v>
      </c>
      <c r="C14" s="1">
        <v>101.25</v>
      </c>
      <c r="D14" s="1">
        <v>69.84</v>
      </c>
      <c r="E14" s="1">
        <v>112.03</v>
      </c>
      <c r="F14" s="1">
        <v>110.42</v>
      </c>
      <c r="G14" s="1">
        <v>138.22</v>
      </c>
    </row>
    <row r="15" spans="1:7" x14ac:dyDescent="0.3">
      <c r="A15" s="1" t="s">
        <v>19</v>
      </c>
      <c r="B15" s="1">
        <v>3</v>
      </c>
      <c r="C15" s="1">
        <v>3</v>
      </c>
      <c r="D15" s="1">
        <v>2</v>
      </c>
      <c r="E15" s="1">
        <v>2</v>
      </c>
      <c r="F15" s="1">
        <v>1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1202.0899999999999</v>
      </c>
      <c r="C17" s="1">
        <v>1199.07</v>
      </c>
      <c r="D17" s="1">
        <v>430.5</v>
      </c>
      <c r="E17" s="1">
        <v>416.56</v>
      </c>
      <c r="F17" s="1">
        <v>129.29</v>
      </c>
      <c r="G17" s="1">
        <v>1277.03</v>
      </c>
    </row>
    <row r="18" spans="1:7" x14ac:dyDescent="0.3">
      <c r="A18" s="1" t="s">
        <v>22</v>
      </c>
      <c r="B18" s="1">
        <v>10.8</v>
      </c>
      <c r="C18" s="1">
        <v>28.07</v>
      </c>
      <c r="D18" s="1">
        <v>24.3</v>
      </c>
      <c r="E18" s="1">
        <v>10.91</v>
      </c>
      <c r="F18" s="1">
        <v>436.8</v>
      </c>
      <c r="G18" s="1">
        <v>30.98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1</v>
      </c>
      <c r="E20" s="1">
        <v>0</v>
      </c>
      <c r="F20" s="1">
        <v>4.9000000000000004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9</v>
      </c>
      <c r="E21" s="1">
        <v>10</v>
      </c>
      <c r="F21" s="1">
        <v>5.0999999999999996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4.2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2.8</v>
      </c>
      <c r="E25" s="1">
        <v>2.7</v>
      </c>
      <c r="F25" s="1">
        <v>4.0999999999999996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7.2</v>
      </c>
      <c r="E26" s="1">
        <v>7.3</v>
      </c>
      <c r="F26" s="1">
        <v>1.7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42.000000000000007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27.999999999999996</v>
      </c>
      <c r="E30" s="3">
        <f t="shared" si="2"/>
        <v>27</v>
      </c>
      <c r="F30" s="3">
        <f t="shared" si="2"/>
        <v>41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72</v>
      </c>
      <c r="E31" s="3">
        <f t="shared" si="3"/>
        <v>73</v>
      </c>
      <c r="F31" s="3">
        <f t="shared" si="3"/>
        <v>17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120.77</v>
      </c>
      <c r="C33" s="3">
        <v>118.06</v>
      </c>
      <c r="D33" s="3">
        <v>42.53</v>
      </c>
      <c r="E33" s="3">
        <v>42.33</v>
      </c>
      <c r="F33" s="3">
        <v>-19.32</v>
      </c>
      <c r="G33" s="3">
        <v>136.66999999999999</v>
      </c>
    </row>
    <row r="35" spans="1:7" x14ac:dyDescent="0.3">
      <c r="A35" s="3" t="s">
        <v>36</v>
      </c>
      <c r="B35" s="3"/>
      <c r="C35" s="3"/>
      <c r="D35" s="3">
        <f>D33-C33</f>
        <v>-75.53</v>
      </c>
      <c r="E35" s="3"/>
      <c r="F35" s="3">
        <f>F33-E33</f>
        <v>-61.65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-0.20000000000000284</v>
      </c>
      <c r="F37" s="3"/>
      <c r="G37" s="3">
        <f>G33-F33</f>
        <v>155.98999999999998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7ED9-5A08-4709-81EB-4D128CDC531A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771.71</v>
      </c>
      <c r="C2" s="1">
        <v>780.17</v>
      </c>
      <c r="D2" s="1">
        <v>759.15</v>
      </c>
      <c r="E2" s="1">
        <v>766.28</v>
      </c>
      <c r="F2" s="1">
        <v>769.7</v>
      </c>
      <c r="G2" s="1">
        <v>785.24</v>
      </c>
    </row>
    <row r="3" spans="1:7" x14ac:dyDescent="0.3">
      <c r="A3" s="1" t="s">
        <v>7</v>
      </c>
      <c r="B3" s="1">
        <v>71.98</v>
      </c>
      <c r="C3" s="1">
        <v>74.84</v>
      </c>
      <c r="D3" s="1">
        <v>73.77</v>
      </c>
      <c r="E3" s="1">
        <v>74.180000000000007</v>
      </c>
      <c r="F3" s="1">
        <v>75.28</v>
      </c>
      <c r="G3" s="1">
        <v>77.63</v>
      </c>
    </row>
    <row r="4" spans="1:7" x14ac:dyDescent="0.3">
      <c r="A4" s="1" t="s">
        <v>8</v>
      </c>
      <c r="B4" s="1">
        <v>56488.5</v>
      </c>
      <c r="C4" s="1">
        <v>59388.160000000003</v>
      </c>
      <c r="D4" s="1">
        <v>56925.48</v>
      </c>
      <c r="E4" s="1">
        <v>57808.31</v>
      </c>
      <c r="F4" s="1">
        <v>58931.55</v>
      </c>
      <c r="G4" s="1">
        <v>62008.02</v>
      </c>
    </row>
    <row r="5" spans="1:7" x14ac:dyDescent="0.3">
      <c r="A5" s="1" t="s">
        <v>9</v>
      </c>
      <c r="B5" s="1">
        <v>1444.62</v>
      </c>
      <c r="C5" s="1">
        <v>1432.61</v>
      </c>
      <c r="D5" s="1">
        <v>457.5</v>
      </c>
      <c r="E5" s="1">
        <v>546.37</v>
      </c>
      <c r="F5" s="1">
        <v>666.14</v>
      </c>
      <c r="G5" s="1">
        <v>1408.11</v>
      </c>
    </row>
    <row r="6" spans="1:7" x14ac:dyDescent="0.3">
      <c r="A6" s="3" t="s">
        <v>10</v>
      </c>
      <c r="B6" s="3">
        <v>144.46</v>
      </c>
      <c r="C6" s="3">
        <v>144.71</v>
      </c>
      <c r="D6" s="3">
        <v>46.21</v>
      </c>
      <c r="E6" s="3">
        <v>55.19</v>
      </c>
      <c r="F6" s="3">
        <v>67.290000000000006</v>
      </c>
      <c r="G6" s="3">
        <v>143.68</v>
      </c>
    </row>
    <row r="7" spans="1:7" x14ac:dyDescent="0.3">
      <c r="A7" s="1" t="s">
        <v>11</v>
      </c>
      <c r="B7" s="1">
        <v>1439.76</v>
      </c>
      <c r="C7" s="1">
        <v>1416.3</v>
      </c>
      <c r="D7" s="1">
        <v>451.73</v>
      </c>
      <c r="E7" s="1">
        <v>541.73</v>
      </c>
      <c r="F7" s="1">
        <v>655.32000000000005</v>
      </c>
      <c r="G7" s="1">
        <v>1404.92</v>
      </c>
    </row>
    <row r="8" spans="1:7" x14ac:dyDescent="0.3">
      <c r="A8" s="1" t="s">
        <v>12</v>
      </c>
      <c r="B8" s="1">
        <v>143.97999999999999</v>
      </c>
      <c r="C8" s="1">
        <v>143.06</v>
      </c>
      <c r="D8" s="1">
        <v>45.63</v>
      </c>
      <c r="E8" s="1">
        <v>54.72</v>
      </c>
      <c r="F8" s="1">
        <v>66.19</v>
      </c>
      <c r="G8" s="1">
        <v>143.36000000000001</v>
      </c>
    </row>
    <row r="9" spans="1:7" x14ac:dyDescent="0.3">
      <c r="A9" s="1" t="s">
        <v>13</v>
      </c>
      <c r="B9" s="1">
        <v>1439.76</v>
      </c>
      <c r="C9" s="1">
        <v>1416.3</v>
      </c>
      <c r="D9" s="1">
        <v>407.98</v>
      </c>
      <c r="E9" s="1">
        <v>541.73</v>
      </c>
      <c r="F9" s="1">
        <v>652.23</v>
      </c>
      <c r="G9" s="1">
        <v>1404.92</v>
      </c>
    </row>
    <row r="10" spans="1:7" x14ac:dyDescent="0.3">
      <c r="A10" s="1" t="s">
        <v>14</v>
      </c>
      <c r="B10" s="1">
        <v>143.97999999999999</v>
      </c>
      <c r="C10" s="1">
        <v>143.06</v>
      </c>
      <c r="D10" s="1">
        <v>41.21</v>
      </c>
      <c r="E10" s="1">
        <v>54.72</v>
      </c>
      <c r="F10" s="1">
        <v>65.88</v>
      </c>
      <c r="G10" s="1">
        <v>143.36000000000001</v>
      </c>
    </row>
    <row r="11" spans="1:7" x14ac:dyDescent="0.3">
      <c r="A11" s="1" t="s">
        <v>15</v>
      </c>
      <c r="B11" s="1">
        <v>1198.3800000000001</v>
      </c>
      <c r="C11" s="1">
        <v>1194.5</v>
      </c>
      <c r="D11" s="1">
        <v>381.73</v>
      </c>
      <c r="E11" s="1">
        <v>491.97</v>
      </c>
      <c r="F11" s="1">
        <v>562.11</v>
      </c>
      <c r="G11" s="1">
        <v>1194.95</v>
      </c>
    </row>
    <row r="12" spans="1:7" x14ac:dyDescent="0.3">
      <c r="A12" s="1" t="s">
        <v>16</v>
      </c>
      <c r="B12" s="1">
        <v>407.15</v>
      </c>
      <c r="C12" s="1">
        <v>407.92</v>
      </c>
      <c r="D12" s="1">
        <v>405.93</v>
      </c>
      <c r="E12" s="1">
        <v>364.08</v>
      </c>
      <c r="F12" s="1">
        <v>398.46</v>
      </c>
      <c r="G12" s="1">
        <v>408.93</v>
      </c>
    </row>
    <row r="13" spans="1:7" x14ac:dyDescent="0.3">
      <c r="A13" s="1" t="s">
        <v>17</v>
      </c>
      <c r="B13" s="1">
        <v>45.76</v>
      </c>
      <c r="C13" s="1">
        <v>40.68</v>
      </c>
      <c r="D13" s="1">
        <v>26.22</v>
      </c>
      <c r="E13" s="1">
        <v>32.29</v>
      </c>
      <c r="F13" s="1">
        <v>30.28</v>
      </c>
      <c r="G13" s="1">
        <v>38.380000000000003</v>
      </c>
    </row>
    <row r="14" spans="1:7" x14ac:dyDescent="0.3">
      <c r="A14" s="1" t="s">
        <v>18</v>
      </c>
      <c r="B14" s="1">
        <v>87.9</v>
      </c>
      <c r="C14" s="1">
        <v>82.02</v>
      </c>
      <c r="D14" s="1">
        <v>57.58</v>
      </c>
      <c r="E14" s="1">
        <v>57.15</v>
      </c>
      <c r="F14" s="1">
        <v>67.91</v>
      </c>
      <c r="G14" s="1">
        <v>77.099999999999994</v>
      </c>
    </row>
    <row r="15" spans="1:7" x14ac:dyDescent="0.3">
      <c r="A15" s="1" t="s">
        <v>19</v>
      </c>
      <c r="B15" s="1">
        <v>3</v>
      </c>
      <c r="C15" s="1">
        <v>3</v>
      </c>
      <c r="D15" s="1">
        <v>2</v>
      </c>
      <c r="E15" s="1">
        <v>1</v>
      </c>
      <c r="F15" s="1">
        <v>3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1439.76</v>
      </c>
      <c r="C17" s="1">
        <v>1416.3</v>
      </c>
      <c r="D17" s="1">
        <v>429.86</v>
      </c>
      <c r="E17" s="1">
        <v>541.73</v>
      </c>
      <c r="F17" s="1">
        <v>653.77</v>
      </c>
      <c r="G17" s="1">
        <v>1404.92</v>
      </c>
    </row>
    <row r="18" spans="1:7" x14ac:dyDescent="0.3">
      <c r="A18" s="1" t="s">
        <v>22</v>
      </c>
      <c r="B18" s="1">
        <v>0</v>
      </c>
      <c r="C18" s="1">
        <v>0</v>
      </c>
      <c r="D18" s="1">
        <v>21.87</v>
      </c>
      <c r="E18" s="1">
        <v>0</v>
      </c>
      <c r="F18" s="1">
        <v>1.55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1.9</v>
      </c>
      <c r="E25" s="1">
        <v>0</v>
      </c>
      <c r="F25" s="1">
        <v>1.5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8.1</v>
      </c>
      <c r="E26" s="1">
        <v>10</v>
      </c>
      <c r="F26" s="1">
        <v>8.5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19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81</v>
      </c>
      <c r="E31" s="3">
        <f t="shared" si="3"/>
        <v>100</v>
      </c>
      <c r="F31" s="3">
        <f t="shared" si="3"/>
        <v>85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142.01</v>
      </c>
      <c r="C33" s="3">
        <v>144.71</v>
      </c>
      <c r="D33" s="3">
        <v>43.39</v>
      </c>
      <c r="E33" s="3">
        <v>56.07</v>
      </c>
      <c r="F33" s="3">
        <v>65.33</v>
      </c>
      <c r="G33" s="3">
        <v>144.43</v>
      </c>
    </row>
    <row r="35" spans="1:7" x14ac:dyDescent="0.3">
      <c r="A35" s="3" t="s">
        <v>36</v>
      </c>
      <c r="B35" s="3"/>
      <c r="C35" s="3"/>
      <c r="D35" s="3">
        <f>D33-C33</f>
        <v>-101.32000000000001</v>
      </c>
      <c r="E35" s="3"/>
      <c r="F35" s="3">
        <f>F33-E33</f>
        <v>9.259999999999998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12.68</v>
      </c>
      <c r="F37" s="3"/>
      <c r="G37" s="3">
        <f>G33-F33</f>
        <v>79.100000000000009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4756-36F6-47D4-8630-F783F1ADEE01}">
  <dimension ref="A1:G37"/>
  <sheetViews>
    <sheetView tabSelected="1" zoomScale="70" zoomScaleNormal="70" workbookViewId="0">
      <selection activeCell="L26" sqref="L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655.09</v>
      </c>
      <c r="C2" s="1">
        <v>651.36</v>
      </c>
      <c r="D2" s="1">
        <v>653.04</v>
      </c>
      <c r="E2" s="1">
        <v>676.85</v>
      </c>
      <c r="F2" s="1">
        <v>649.19000000000005</v>
      </c>
      <c r="G2" s="1">
        <v>642.54</v>
      </c>
    </row>
    <row r="3" spans="1:7" x14ac:dyDescent="0.3">
      <c r="A3" s="1" t="s">
        <v>7</v>
      </c>
      <c r="B3" s="1">
        <v>49.98</v>
      </c>
      <c r="C3" s="1">
        <v>49.07</v>
      </c>
      <c r="D3" s="1">
        <v>48.59</v>
      </c>
      <c r="E3" s="1">
        <v>53.08</v>
      </c>
      <c r="F3" s="1">
        <v>53.85</v>
      </c>
      <c r="G3" s="1">
        <v>46.74</v>
      </c>
    </row>
    <row r="4" spans="1:7" x14ac:dyDescent="0.3">
      <c r="A4" s="1" t="s">
        <v>8</v>
      </c>
      <c r="B4" s="1">
        <v>33310.47</v>
      </c>
      <c r="C4" s="1">
        <v>32514.45</v>
      </c>
      <c r="D4" s="1">
        <v>32288.05</v>
      </c>
      <c r="E4" s="1">
        <v>36550.04</v>
      </c>
      <c r="F4" s="1">
        <v>35518.449999999997</v>
      </c>
      <c r="G4" s="1">
        <v>30546.65</v>
      </c>
    </row>
    <row r="5" spans="1:7" x14ac:dyDescent="0.3">
      <c r="A5" s="1" t="s">
        <v>9</v>
      </c>
      <c r="B5" s="1">
        <v>1806.11</v>
      </c>
      <c r="C5" s="1">
        <v>1861.94</v>
      </c>
      <c r="D5" s="1">
        <v>942.91</v>
      </c>
      <c r="E5" s="1">
        <v>314.32</v>
      </c>
      <c r="F5" s="1">
        <v>715.93</v>
      </c>
      <c r="G5" s="1">
        <v>1673.41</v>
      </c>
    </row>
    <row r="6" spans="1:7" x14ac:dyDescent="0.3">
      <c r="A6" s="3" t="s">
        <v>10</v>
      </c>
      <c r="B6" s="3">
        <v>180.61</v>
      </c>
      <c r="C6" s="3">
        <v>188.08</v>
      </c>
      <c r="D6" s="3">
        <v>95.24</v>
      </c>
      <c r="E6" s="3">
        <v>31.75</v>
      </c>
      <c r="F6" s="3">
        <v>72.319999999999993</v>
      </c>
      <c r="G6" s="3">
        <v>170.76</v>
      </c>
    </row>
    <row r="7" spans="1:7" x14ac:dyDescent="0.3">
      <c r="A7" s="1" t="s">
        <v>11</v>
      </c>
      <c r="B7" s="1">
        <v>1762.95</v>
      </c>
      <c r="C7" s="1">
        <v>1827.4</v>
      </c>
      <c r="D7" s="1">
        <v>928.97</v>
      </c>
      <c r="E7" s="1">
        <v>306.27</v>
      </c>
      <c r="F7" s="1">
        <v>705.88</v>
      </c>
      <c r="G7" s="1">
        <v>1606.44</v>
      </c>
    </row>
    <row r="8" spans="1:7" x14ac:dyDescent="0.3">
      <c r="A8" s="1" t="s">
        <v>12</v>
      </c>
      <c r="B8" s="1">
        <v>176.29</v>
      </c>
      <c r="C8" s="1">
        <v>184.59</v>
      </c>
      <c r="D8" s="1">
        <v>93.84</v>
      </c>
      <c r="E8" s="1">
        <v>30.94</v>
      </c>
      <c r="F8" s="1">
        <v>71.3</v>
      </c>
      <c r="G8" s="1">
        <v>163.92</v>
      </c>
    </row>
    <row r="9" spans="1:7" x14ac:dyDescent="0.3">
      <c r="A9" s="1" t="s">
        <v>13</v>
      </c>
      <c r="B9" s="1">
        <v>1762.95</v>
      </c>
      <c r="C9" s="1">
        <v>1827.4</v>
      </c>
      <c r="D9" s="1">
        <v>878.99</v>
      </c>
      <c r="E9" s="1">
        <v>279.45999999999998</v>
      </c>
      <c r="F9" s="1">
        <v>-326.82</v>
      </c>
      <c r="G9" s="1">
        <v>1606.44</v>
      </c>
    </row>
    <row r="10" spans="1:7" x14ac:dyDescent="0.3">
      <c r="A10" s="1" t="s">
        <v>14</v>
      </c>
      <c r="B10" s="1">
        <v>176.29</v>
      </c>
      <c r="C10" s="1">
        <v>184.59</v>
      </c>
      <c r="D10" s="1">
        <v>88.79</v>
      </c>
      <c r="E10" s="1">
        <v>28.23</v>
      </c>
      <c r="F10" s="1">
        <v>-33.01</v>
      </c>
      <c r="G10" s="1">
        <v>163.92</v>
      </c>
    </row>
    <row r="11" spans="1:7" x14ac:dyDescent="0.3">
      <c r="A11" s="1" t="s">
        <v>15</v>
      </c>
      <c r="B11" s="1">
        <v>1514.44</v>
      </c>
      <c r="C11" s="1">
        <v>1625.83</v>
      </c>
      <c r="D11" s="1">
        <v>760.99</v>
      </c>
      <c r="E11" s="1">
        <v>234.6</v>
      </c>
      <c r="F11" s="1">
        <v>88.57</v>
      </c>
      <c r="G11" s="1">
        <v>1468.82</v>
      </c>
    </row>
    <row r="12" spans="1:7" x14ac:dyDescent="0.3">
      <c r="A12" s="1" t="s">
        <v>16</v>
      </c>
      <c r="B12" s="1">
        <v>372.77</v>
      </c>
      <c r="C12" s="1">
        <v>363.91</v>
      </c>
      <c r="D12" s="1">
        <v>358.17</v>
      </c>
      <c r="E12" s="1">
        <v>352.24</v>
      </c>
      <c r="F12" s="1">
        <v>352.94</v>
      </c>
      <c r="G12" s="1">
        <v>383.81</v>
      </c>
    </row>
    <row r="13" spans="1:7" x14ac:dyDescent="0.3">
      <c r="A13" s="1" t="s">
        <v>17</v>
      </c>
      <c r="B13" s="1">
        <v>40.99</v>
      </c>
      <c r="C13" s="1">
        <v>41.61</v>
      </c>
      <c r="D13" s="1">
        <v>39.26</v>
      </c>
      <c r="E13" s="1">
        <v>42.54</v>
      </c>
      <c r="F13" s="1">
        <v>44.59</v>
      </c>
      <c r="G13" s="1">
        <v>32.58</v>
      </c>
    </row>
    <row r="14" spans="1:7" x14ac:dyDescent="0.3">
      <c r="A14" s="1" t="s">
        <v>18</v>
      </c>
      <c r="B14" s="1">
        <v>75.06</v>
      </c>
      <c r="C14" s="1">
        <v>73.36</v>
      </c>
      <c r="D14" s="1">
        <v>69.55</v>
      </c>
      <c r="E14" s="1">
        <v>72.239999999999995</v>
      </c>
      <c r="F14" s="1">
        <v>85.44</v>
      </c>
      <c r="G14" s="1">
        <v>64.38</v>
      </c>
    </row>
    <row r="15" spans="1:7" x14ac:dyDescent="0.3">
      <c r="A15" s="1" t="s">
        <v>19</v>
      </c>
      <c r="B15" s="1">
        <v>7</v>
      </c>
      <c r="C15" s="1">
        <v>7</v>
      </c>
      <c r="D15" s="1">
        <v>3</v>
      </c>
      <c r="E15" s="1">
        <v>2</v>
      </c>
      <c r="F15" s="1">
        <v>2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1762.95</v>
      </c>
      <c r="C17" s="1">
        <v>1827.4</v>
      </c>
      <c r="D17" s="1">
        <v>903.98</v>
      </c>
      <c r="E17" s="1">
        <v>292.87</v>
      </c>
      <c r="F17" s="1">
        <v>189.53</v>
      </c>
      <c r="G17" s="1">
        <v>1606.44</v>
      </c>
    </row>
    <row r="18" spans="1:7" x14ac:dyDescent="0.3">
      <c r="A18" s="1" t="s">
        <v>22</v>
      </c>
      <c r="B18" s="1">
        <v>0</v>
      </c>
      <c r="C18" s="1">
        <v>0</v>
      </c>
      <c r="D18" s="1">
        <v>24.99</v>
      </c>
      <c r="E18" s="1">
        <v>13.41</v>
      </c>
      <c r="F18" s="1">
        <v>516.35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1</v>
      </c>
      <c r="E20" s="1">
        <v>1.7</v>
      </c>
      <c r="F20" s="1">
        <v>4.8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9</v>
      </c>
      <c r="E21" s="1">
        <v>8.3000000000000007</v>
      </c>
      <c r="F21" s="1">
        <v>5.2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2.8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1.4</v>
      </c>
      <c r="E25" s="1">
        <v>6.3</v>
      </c>
      <c r="F25" s="1">
        <v>4.8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8.6</v>
      </c>
      <c r="E26" s="1">
        <v>3.7</v>
      </c>
      <c r="F26" s="1">
        <v>2.4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27.999999999999996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13.999999999999998</v>
      </c>
      <c r="E30" s="3">
        <f t="shared" si="2"/>
        <v>63</v>
      </c>
      <c r="F30" s="3">
        <f t="shared" si="2"/>
        <v>48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86</v>
      </c>
      <c r="E31" s="3">
        <f t="shared" si="3"/>
        <v>37</v>
      </c>
      <c r="F31" s="3">
        <f t="shared" si="3"/>
        <v>24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176.58</v>
      </c>
      <c r="C33" s="3">
        <v>189.16</v>
      </c>
      <c r="D33" s="3">
        <v>91.42</v>
      </c>
      <c r="E33" s="3">
        <v>29.07</v>
      </c>
      <c r="F33" s="3">
        <v>-10.95</v>
      </c>
      <c r="G33" s="3">
        <v>172.14</v>
      </c>
    </row>
    <row r="35" spans="1:7" x14ac:dyDescent="0.3">
      <c r="A35" s="3" t="s">
        <v>36</v>
      </c>
      <c r="B35" s="3"/>
      <c r="C35" s="3"/>
      <c r="D35" s="3">
        <f>D33-C33</f>
        <v>-97.74</v>
      </c>
      <c r="E35" s="3"/>
      <c r="F35" s="3">
        <f>F33-E33</f>
        <v>-40.019999999999996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-62.35</v>
      </c>
      <c r="F37" s="3"/>
      <c r="G37" s="3">
        <f>G33-F33</f>
        <v>183.08999999999997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CB86-3F9D-4AD0-A3C4-CEE37E2DCD74}">
  <dimension ref="A1:G37"/>
  <sheetViews>
    <sheetView zoomScale="70" zoomScaleNormal="70" workbookViewId="0">
      <selection activeCell="K30" sqref="K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240617B001.1</vt:lpstr>
      <vt:lpstr>240617B001.2</vt:lpstr>
      <vt:lpstr>240617B001.3</vt:lpstr>
      <vt:lpstr>240617B002.1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2024-07-23T16:32:40Z</dcterms:created>
  <dcterms:modified xsi:type="dcterms:W3CDTF">2024-07-23T20:09:38Z</dcterms:modified>
</cp:coreProperties>
</file>