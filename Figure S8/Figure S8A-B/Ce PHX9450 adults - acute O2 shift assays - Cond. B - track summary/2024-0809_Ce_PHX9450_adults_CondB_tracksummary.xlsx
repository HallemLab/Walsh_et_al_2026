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elegans\Adults\PHX9450\2024-0809\WormLab Data\"/>
    </mc:Choice>
  </mc:AlternateContent>
  <xr:revisionPtr revIDLastSave="0" documentId="13_ncr:1_{06E8A290-3B16-4A19-A90D-B924EF778BA3}" xr6:coauthVersionLast="36" xr6:coauthVersionMax="36" xr10:uidLastSave="{00000000-0000-0000-0000-000000000000}"/>
  <bookViews>
    <workbookView xWindow="0" yWindow="0" windowWidth="24360" windowHeight="10935" firstSheet="1" activeTab="6" xr2:uid="{6343ACCC-4270-4246-901D-D485768041BB}"/>
  </bookViews>
  <sheets>
    <sheet name="240809B001.1" sheetId="2" r:id="rId1"/>
    <sheet name="240809B001.2" sheetId="3" r:id="rId2"/>
    <sheet name="240809B001.3" sheetId="4" r:id="rId3"/>
    <sheet name="240809B002.1" sheetId="5" r:id="rId4"/>
    <sheet name="240809B003.1" sheetId="6" r:id="rId5"/>
    <sheet name="240809B003.2" sheetId="7" r:id="rId6"/>
    <sheet name="template" sheetId="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7" l="1"/>
  <c r="G37" i="7"/>
  <c r="E37" i="7"/>
  <c r="C37" i="7"/>
  <c r="F35" i="7"/>
  <c r="D35" i="7"/>
  <c r="B30" i="7"/>
  <c r="G28" i="7"/>
  <c r="G31" i="7" s="1"/>
  <c r="F28" i="7"/>
  <c r="F30" i="7" s="1"/>
  <c r="E28" i="7"/>
  <c r="E31" i="7" s="1"/>
  <c r="D28" i="7"/>
  <c r="D31" i="7" s="1"/>
  <c r="C28" i="7"/>
  <c r="C29" i="7" s="1"/>
  <c r="B28" i="7"/>
  <c r="B29" i="7" s="1"/>
  <c r="G37" i="6"/>
  <c r="E37" i="6"/>
  <c r="C37" i="6"/>
  <c r="F35" i="6"/>
  <c r="D35" i="6"/>
  <c r="F31" i="6"/>
  <c r="E31" i="6"/>
  <c r="D31" i="6"/>
  <c r="C31" i="6"/>
  <c r="B31" i="6"/>
  <c r="F30" i="6"/>
  <c r="E30" i="6"/>
  <c r="D30" i="6"/>
  <c r="C30" i="6"/>
  <c r="B30" i="6"/>
  <c r="F29" i="6"/>
  <c r="E29" i="6"/>
  <c r="G28" i="6"/>
  <c r="G31" i="6" s="1"/>
  <c r="F28" i="6"/>
  <c r="E28" i="6"/>
  <c r="D28" i="6"/>
  <c r="D29" i="6" s="1"/>
  <c r="C28" i="6"/>
  <c r="C29" i="6" s="1"/>
  <c r="B28" i="6"/>
  <c r="B29" i="6" s="1"/>
  <c r="G37" i="5"/>
  <c r="E37" i="5"/>
  <c r="C37" i="5"/>
  <c r="F35" i="5"/>
  <c r="D35" i="5"/>
  <c r="D31" i="5"/>
  <c r="B31" i="5"/>
  <c r="D30" i="5"/>
  <c r="C30" i="5"/>
  <c r="B30" i="5"/>
  <c r="G28" i="5"/>
  <c r="G31" i="5" s="1"/>
  <c r="F28" i="5"/>
  <c r="F31" i="5" s="1"/>
  <c r="E28" i="5"/>
  <c r="E31" i="5" s="1"/>
  <c r="D28" i="5"/>
  <c r="D29" i="5" s="1"/>
  <c r="C28" i="5"/>
  <c r="C29" i="5" s="1"/>
  <c r="B28" i="5"/>
  <c r="B29" i="5" s="1"/>
  <c r="G37" i="4"/>
  <c r="E37" i="4"/>
  <c r="C37" i="4"/>
  <c r="F35" i="4"/>
  <c r="D35" i="4"/>
  <c r="C31" i="4"/>
  <c r="C30" i="4"/>
  <c r="B30" i="4"/>
  <c r="F29" i="4"/>
  <c r="G28" i="4"/>
  <c r="G31" i="4" s="1"/>
  <c r="F28" i="4"/>
  <c r="F31" i="4" s="1"/>
  <c r="E28" i="4"/>
  <c r="E30" i="4" s="1"/>
  <c r="D28" i="4"/>
  <c r="D29" i="4" s="1"/>
  <c r="C28" i="4"/>
  <c r="C29" i="4" s="1"/>
  <c r="B28" i="4"/>
  <c r="B29" i="4" s="1"/>
  <c r="G37" i="3"/>
  <c r="E37" i="3"/>
  <c r="C37" i="3"/>
  <c r="F35" i="3"/>
  <c r="D35" i="3"/>
  <c r="G28" i="3"/>
  <c r="G29" i="3" s="1"/>
  <c r="F28" i="3"/>
  <c r="F29" i="3" s="1"/>
  <c r="E28" i="3"/>
  <c r="E29" i="3" s="1"/>
  <c r="D28" i="3"/>
  <c r="D30" i="3" s="1"/>
  <c r="C28" i="3"/>
  <c r="C29" i="3" s="1"/>
  <c r="B28" i="3"/>
  <c r="B31" i="3" s="1"/>
  <c r="G37" i="2"/>
  <c r="E37" i="2"/>
  <c r="C37" i="2"/>
  <c r="F35" i="2"/>
  <c r="D35" i="2"/>
  <c r="F31" i="2"/>
  <c r="E31" i="2"/>
  <c r="D31" i="2"/>
  <c r="C31" i="2"/>
  <c r="B31" i="2"/>
  <c r="F30" i="2"/>
  <c r="E30" i="2"/>
  <c r="D30" i="2"/>
  <c r="C30" i="2"/>
  <c r="B30" i="2"/>
  <c r="F29" i="2"/>
  <c r="E29" i="2"/>
  <c r="G28" i="2"/>
  <c r="G31" i="2" s="1"/>
  <c r="F28" i="2"/>
  <c r="E28" i="2"/>
  <c r="D28" i="2"/>
  <c r="D29" i="2" s="1"/>
  <c r="C28" i="2"/>
  <c r="C29" i="2" s="1"/>
  <c r="B28" i="2"/>
  <c r="B29" i="2" s="1"/>
  <c r="G37" i="1"/>
  <c r="E37" i="1"/>
  <c r="C37" i="1"/>
  <c r="F35" i="1"/>
  <c r="D35" i="1"/>
  <c r="G31" i="1"/>
  <c r="E31" i="1"/>
  <c r="D31" i="1"/>
  <c r="F30" i="1"/>
  <c r="E30" i="1"/>
  <c r="D30" i="1"/>
  <c r="C30" i="1"/>
  <c r="B30" i="1"/>
  <c r="F29" i="1"/>
  <c r="G28" i="1"/>
  <c r="G30" i="1" s="1"/>
  <c r="F28" i="1"/>
  <c r="F31" i="1" s="1"/>
  <c r="E28" i="1"/>
  <c r="E29" i="1" s="1"/>
  <c r="D28" i="1"/>
  <c r="D29" i="1" s="1"/>
  <c r="C28" i="1"/>
  <c r="C29" i="1" s="1"/>
  <c r="B28" i="1"/>
  <c r="B31" i="1" s="1"/>
  <c r="F29" i="7" l="1"/>
  <c r="G29" i="7"/>
  <c r="E29" i="7"/>
  <c r="D30" i="7"/>
  <c r="E30" i="7"/>
  <c r="F31" i="7"/>
  <c r="D29" i="7"/>
  <c r="C30" i="7"/>
  <c r="G30" i="7"/>
  <c r="C31" i="7"/>
  <c r="G30" i="6"/>
  <c r="G29" i="6"/>
  <c r="E30" i="5"/>
  <c r="G30" i="5"/>
  <c r="G29" i="5"/>
  <c r="E29" i="5"/>
  <c r="F30" i="5"/>
  <c r="F29" i="5"/>
  <c r="C31" i="5"/>
  <c r="G29" i="4"/>
  <c r="F30" i="4"/>
  <c r="D30" i="4"/>
  <c r="G30" i="4"/>
  <c r="E31" i="4"/>
  <c r="E29" i="4"/>
  <c r="B31" i="4"/>
  <c r="D31" i="4"/>
  <c r="D31" i="3"/>
  <c r="F30" i="3"/>
  <c r="F31" i="3"/>
  <c r="E30" i="3"/>
  <c r="G30" i="3"/>
  <c r="C31" i="3"/>
  <c r="E31" i="3"/>
  <c r="G31" i="3"/>
  <c r="B29" i="3"/>
  <c r="D29" i="3"/>
  <c r="B30" i="3"/>
  <c r="C30" i="3"/>
  <c r="G30" i="2"/>
  <c r="G29" i="2"/>
  <c r="G29" i="1"/>
  <c r="B29" i="1"/>
  <c r="C31" i="1"/>
</calcChain>
</file>

<file path=xl/sharedStrings.xml><?xml version="1.0" encoding="utf-8"?>
<sst xmlns="http://schemas.openxmlformats.org/spreadsheetml/2006/main" count="266" uniqueCount="37">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</sst>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EFB7-CBFB-4CB1-BC94-413872FE94BE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707.08</v>
      </c>
      <c r="C2" s="1">
        <v>713.17</v>
      </c>
      <c r="D2" s="1">
        <v>724.58</v>
      </c>
      <c r="E2" s="1">
        <v>719.78</v>
      </c>
      <c r="F2" s="1">
        <v>664.45</v>
      </c>
      <c r="G2" s="1">
        <v>686.65</v>
      </c>
    </row>
    <row r="3" spans="1:7" x14ac:dyDescent="0.25">
      <c r="A3" s="1" t="s">
        <v>7</v>
      </c>
      <c r="B3" s="1">
        <v>53.89</v>
      </c>
      <c r="C3" s="1">
        <v>53.23</v>
      </c>
      <c r="D3" s="1">
        <v>54.24</v>
      </c>
      <c r="E3" s="1">
        <v>47.68</v>
      </c>
      <c r="F3" s="1">
        <v>47.85</v>
      </c>
      <c r="G3" s="1">
        <v>54.11</v>
      </c>
    </row>
    <row r="4" spans="1:7" x14ac:dyDescent="0.25">
      <c r="A4" s="1" t="s">
        <v>8</v>
      </c>
      <c r="B4" s="1">
        <v>38713.51</v>
      </c>
      <c r="C4" s="1">
        <v>38579.4</v>
      </c>
      <c r="D4" s="1">
        <v>39965.050000000003</v>
      </c>
      <c r="E4" s="1">
        <v>34905.68</v>
      </c>
      <c r="F4" s="1">
        <v>32287.29</v>
      </c>
      <c r="G4" s="1">
        <v>37773.589999999997</v>
      </c>
    </row>
    <row r="5" spans="1:7" x14ac:dyDescent="0.25">
      <c r="A5" s="1" t="s">
        <v>9</v>
      </c>
      <c r="B5" s="1">
        <v>904.08</v>
      </c>
      <c r="C5" s="1">
        <v>1406.29</v>
      </c>
      <c r="D5" s="1">
        <v>635.84</v>
      </c>
      <c r="E5" s="1">
        <v>694.36</v>
      </c>
      <c r="F5" s="1">
        <v>918.41</v>
      </c>
      <c r="G5" s="1">
        <v>1426.33</v>
      </c>
    </row>
    <row r="6" spans="1:7" x14ac:dyDescent="0.25">
      <c r="A6" s="3" t="s">
        <v>10</v>
      </c>
      <c r="B6" s="3">
        <v>90.41</v>
      </c>
      <c r="C6" s="3">
        <v>142.05000000000001</v>
      </c>
      <c r="D6" s="3">
        <v>64.23</v>
      </c>
      <c r="E6" s="3">
        <v>70.14</v>
      </c>
      <c r="F6" s="3">
        <v>92.77</v>
      </c>
      <c r="G6" s="3">
        <v>145.54</v>
      </c>
    </row>
    <row r="7" spans="1:7" x14ac:dyDescent="0.25">
      <c r="A7" s="1" t="s">
        <v>11</v>
      </c>
      <c r="B7" s="1">
        <v>866.14</v>
      </c>
      <c r="C7" s="1">
        <v>1366.36</v>
      </c>
      <c r="D7" s="1">
        <v>613.92999999999995</v>
      </c>
      <c r="E7" s="1">
        <v>660.92</v>
      </c>
      <c r="F7" s="1">
        <v>872.57</v>
      </c>
      <c r="G7" s="1">
        <v>1389.34</v>
      </c>
    </row>
    <row r="8" spans="1:7" x14ac:dyDescent="0.25">
      <c r="A8" s="1" t="s">
        <v>12</v>
      </c>
      <c r="B8" s="1">
        <v>86.61</v>
      </c>
      <c r="C8" s="1">
        <v>138.02000000000001</v>
      </c>
      <c r="D8" s="1">
        <v>62.01</v>
      </c>
      <c r="E8" s="1">
        <v>66.760000000000005</v>
      </c>
      <c r="F8" s="1">
        <v>88.14</v>
      </c>
      <c r="G8" s="1">
        <v>141.77000000000001</v>
      </c>
    </row>
    <row r="9" spans="1:7" x14ac:dyDescent="0.25">
      <c r="A9" s="1" t="s">
        <v>13</v>
      </c>
      <c r="B9" s="1">
        <v>864.86</v>
      </c>
      <c r="C9" s="1">
        <v>1364.39</v>
      </c>
      <c r="D9" s="1">
        <v>607.83000000000004</v>
      </c>
      <c r="E9" s="1">
        <v>658.6</v>
      </c>
      <c r="F9" s="1">
        <v>352.53</v>
      </c>
      <c r="G9" s="1">
        <v>933.44</v>
      </c>
    </row>
    <row r="10" spans="1:7" x14ac:dyDescent="0.25">
      <c r="A10" s="1" t="s">
        <v>14</v>
      </c>
      <c r="B10" s="1">
        <v>86.49</v>
      </c>
      <c r="C10" s="1">
        <v>137.82</v>
      </c>
      <c r="D10" s="1">
        <v>61.4</v>
      </c>
      <c r="E10" s="1">
        <v>66.52</v>
      </c>
      <c r="F10" s="1">
        <v>35.61</v>
      </c>
      <c r="G10" s="1">
        <v>95.25</v>
      </c>
    </row>
    <row r="11" spans="1:7" x14ac:dyDescent="0.25">
      <c r="A11" s="1" t="s">
        <v>15</v>
      </c>
      <c r="B11" s="1">
        <v>654.37</v>
      </c>
      <c r="C11" s="1">
        <v>1008.99</v>
      </c>
      <c r="D11" s="1">
        <v>479.54</v>
      </c>
      <c r="E11" s="1">
        <v>487.26</v>
      </c>
      <c r="F11" s="1">
        <v>249.81</v>
      </c>
      <c r="G11" s="1">
        <v>428.55</v>
      </c>
    </row>
    <row r="12" spans="1:7" x14ac:dyDescent="0.25">
      <c r="A12" s="1" t="s">
        <v>16</v>
      </c>
      <c r="B12" s="1">
        <v>346.21</v>
      </c>
      <c r="C12" s="1">
        <v>346.83</v>
      </c>
      <c r="D12" s="1">
        <v>363.02</v>
      </c>
      <c r="E12" s="1">
        <v>315.35000000000002</v>
      </c>
      <c r="F12" s="1">
        <v>364.74</v>
      </c>
      <c r="G12" s="1">
        <v>333.69</v>
      </c>
    </row>
    <row r="13" spans="1:7" x14ac:dyDescent="0.25">
      <c r="A13" s="1" t="s">
        <v>17</v>
      </c>
      <c r="B13" s="1">
        <v>40.119999999999997</v>
      </c>
      <c r="C13" s="1">
        <v>60.52</v>
      </c>
      <c r="D13" s="1">
        <v>52.35</v>
      </c>
      <c r="E13" s="1">
        <v>72.150000000000006</v>
      </c>
      <c r="F13" s="1">
        <v>65.7</v>
      </c>
      <c r="G13" s="1">
        <v>66.989999999999995</v>
      </c>
    </row>
    <row r="14" spans="1:7" x14ac:dyDescent="0.25">
      <c r="A14" s="1" t="s">
        <v>18</v>
      </c>
      <c r="B14" s="1">
        <v>113.26</v>
      </c>
      <c r="C14" s="1">
        <v>102.02</v>
      </c>
      <c r="D14" s="1">
        <v>83.9</v>
      </c>
      <c r="E14" s="1">
        <v>138.15</v>
      </c>
      <c r="F14" s="1">
        <v>109.9</v>
      </c>
      <c r="G14" s="1">
        <v>124.26</v>
      </c>
    </row>
    <row r="15" spans="1:7" x14ac:dyDescent="0.25">
      <c r="A15" s="1" t="s">
        <v>19</v>
      </c>
      <c r="B15" s="1">
        <v>3</v>
      </c>
      <c r="C15" s="1">
        <v>5</v>
      </c>
      <c r="D15" s="1">
        <v>2</v>
      </c>
      <c r="E15" s="1">
        <v>2</v>
      </c>
      <c r="F15" s="1">
        <v>3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865.5</v>
      </c>
      <c r="C17" s="1">
        <v>1365.37</v>
      </c>
      <c r="D17" s="1">
        <v>610.88</v>
      </c>
      <c r="E17" s="1">
        <v>659.76</v>
      </c>
      <c r="F17" s="1">
        <v>612.54999999999995</v>
      </c>
      <c r="G17" s="1">
        <v>1161.3900000000001</v>
      </c>
    </row>
    <row r="18" spans="1:7" x14ac:dyDescent="0.25">
      <c r="A18" s="1" t="s">
        <v>22</v>
      </c>
      <c r="B18" s="1">
        <v>0.64</v>
      </c>
      <c r="C18" s="1">
        <v>0.98</v>
      </c>
      <c r="D18" s="1">
        <v>3.05</v>
      </c>
      <c r="E18" s="1">
        <v>1.1599999999999999</v>
      </c>
      <c r="F18" s="1">
        <v>260.02</v>
      </c>
      <c r="G18" s="1">
        <v>227.95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2.4</v>
      </c>
      <c r="G20" s="1">
        <v>2.4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7.6</v>
      </c>
      <c r="G21" s="1">
        <v>7.5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3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2.2000000000000002</v>
      </c>
      <c r="G24" s="1">
        <v>2.1</v>
      </c>
    </row>
    <row r="25" spans="1:7" x14ac:dyDescent="0.25">
      <c r="A25" s="1" t="s">
        <v>29</v>
      </c>
      <c r="B25" s="1">
        <v>1.5</v>
      </c>
      <c r="C25" s="1">
        <v>0</v>
      </c>
      <c r="D25" s="1">
        <v>2</v>
      </c>
      <c r="E25" s="1">
        <v>0</v>
      </c>
      <c r="F25" s="1">
        <v>0</v>
      </c>
      <c r="G25" s="1">
        <v>0</v>
      </c>
    </row>
    <row r="26" spans="1:7" x14ac:dyDescent="0.25">
      <c r="A26" s="1" t="s">
        <v>30</v>
      </c>
      <c r="B26" s="1">
        <v>8.6</v>
      </c>
      <c r="C26" s="1">
        <v>10</v>
      </c>
      <c r="D26" s="1">
        <v>8</v>
      </c>
      <c r="E26" s="1">
        <v>10</v>
      </c>
      <c r="F26" s="1">
        <v>7.8</v>
      </c>
      <c r="G26" s="1">
        <v>7.8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22.000000000000004</v>
      </c>
      <c r="G29" s="3">
        <f t="shared" si="1"/>
        <v>21.212121212121211</v>
      </c>
    </row>
    <row r="30" spans="1:7" x14ac:dyDescent="0.25">
      <c r="A30" s="3" t="s">
        <v>33</v>
      </c>
      <c r="B30" s="3">
        <f>B25/B28*100</f>
        <v>14.85148514851485</v>
      </c>
      <c r="C30" s="3">
        <f t="shared" ref="C30:G30" si="2">C25/C28*100</f>
        <v>0</v>
      </c>
      <c r="D30" s="3">
        <f t="shared" si="2"/>
        <v>20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85.148514851485146</v>
      </c>
      <c r="C31" s="3">
        <f t="shared" ref="C31:G31" si="3">C26/C28*100</f>
        <v>100</v>
      </c>
      <c r="D31" s="3">
        <f t="shared" si="3"/>
        <v>80</v>
      </c>
      <c r="E31" s="3">
        <f t="shared" si="3"/>
        <v>100</v>
      </c>
      <c r="F31" s="3">
        <f t="shared" si="3"/>
        <v>78</v>
      </c>
      <c r="G31" s="3">
        <f t="shared" si="3"/>
        <v>78.787878787878782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90.43</v>
      </c>
      <c r="C33" s="3">
        <v>141.04</v>
      </c>
      <c r="D33" s="3">
        <v>64.349999999999994</v>
      </c>
      <c r="E33" s="3">
        <v>69.23</v>
      </c>
      <c r="F33" s="3">
        <v>37.54</v>
      </c>
      <c r="G33" s="3">
        <v>65.02</v>
      </c>
    </row>
    <row r="35" spans="1:7" x14ac:dyDescent="0.25">
      <c r="A35" s="3" t="s">
        <v>36</v>
      </c>
      <c r="B35" s="3"/>
      <c r="C35" s="3"/>
      <c r="D35" s="3">
        <f>D33-C33</f>
        <v>-76.69</v>
      </c>
      <c r="E35" s="3"/>
      <c r="F35" s="3">
        <f>F33-E33</f>
        <v>-31.690000000000005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4.8800000000000097</v>
      </c>
      <c r="F37" s="3"/>
      <c r="G37" s="3">
        <f>G33-F33</f>
        <v>27.479999999999997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3D68-6723-4056-A54C-87121B3C0A56}">
  <dimension ref="A1:G37"/>
  <sheetViews>
    <sheetView zoomScale="80" zoomScaleNormal="80" workbookViewId="0">
      <selection activeCell="I30" sqref="I30:I38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710.88</v>
      </c>
      <c r="C2" s="1">
        <v>656.38</v>
      </c>
      <c r="D2" s="1">
        <v>736.33</v>
      </c>
      <c r="E2" s="1">
        <v>747.07</v>
      </c>
      <c r="F2" s="1">
        <v>726.09</v>
      </c>
      <c r="G2" s="1">
        <v>727.46</v>
      </c>
    </row>
    <row r="3" spans="1:7" x14ac:dyDescent="0.25">
      <c r="A3" s="1" t="s">
        <v>7</v>
      </c>
      <c r="B3" s="1">
        <v>53.83</v>
      </c>
      <c r="C3" s="1">
        <v>64.7</v>
      </c>
      <c r="D3" s="1">
        <v>64.47</v>
      </c>
      <c r="E3" s="1">
        <v>60.91</v>
      </c>
      <c r="F3" s="1">
        <v>61.69</v>
      </c>
      <c r="G3" s="1">
        <v>58</v>
      </c>
    </row>
    <row r="4" spans="1:7" x14ac:dyDescent="0.25">
      <c r="A4" s="1" t="s">
        <v>8</v>
      </c>
      <c r="B4" s="1">
        <v>38901.279999999999</v>
      </c>
      <c r="C4" s="1">
        <v>43150.9</v>
      </c>
      <c r="D4" s="1">
        <v>48291.42</v>
      </c>
      <c r="E4" s="1">
        <v>46285.59</v>
      </c>
      <c r="F4" s="1">
        <v>45552.74</v>
      </c>
      <c r="G4" s="1">
        <v>42905.14</v>
      </c>
    </row>
    <row r="5" spans="1:7" x14ac:dyDescent="0.25">
      <c r="A5" s="1" t="s">
        <v>9</v>
      </c>
      <c r="B5" s="1">
        <v>368.72</v>
      </c>
      <c r="C5" s="1">
        <v>637.35</v>
      </c>
      <c r="D5" s="1">
        <v>452.72</v>
      </c>
      <c r="E5" s="1">
        <v>93.29</v>
      </c>
      <c r="F5" s="1">
        <v>338.22</v>
      </c>
      <c r="G5" s="1">
        <v>996.49</v>
      </c>
    </row>
    <row r="6" spans="1:7" x14ac:dyDescent="0.25">
      <c r="A6" s="3" t="s">
        <v>10</v>
      </c>
      <c r="B6" s="3">
        <v>36.869999999999997</v>
      </c>
      <c r="C6" s="3">
        <v>64.38</v>
      </c>
      <c r="D6" s="3">
        <v>45.73</v>
      </c>
      <c r="E6" s="3">
        <v>9.42</v>
      </c>
      <c r="F6" s="3">
        <v>34.159999999999997</v>
      </c>
      <c r="G6" s="3">
        <v>101.68</v>
      </c>
    </row>
    <row r="7" spans="1:7" x14ac:dyDescent="0.25">
      <c r="A7" s="1" t="s">
        <v>11</v>
      </c>
      <c r="B7" s="1">
        <v>352.65</v>
      </c>
      <c r="C7" s="1">
        <v>557.66999999999996</v>
      </c>
      <c r="D7" s="1">
        <v>438.66</v>
      </c>
      <c r="E7" s="1">
        <v>89.24</v>
      </c>
      <c r="F7" s="1">
        <v>322.76</v>
      </c>
      <c r="G7" s="1">
        <v>969.33</v>
      </c>
    </row>
    <row r="8" spans="1:7" x14ac:dyDescent="0.25">
      <c r="A8" s="1" t="s">
        <v>12</v>
      </c>
      <c r="B8" s="1">
        <v>35.270000000000003</v>
      </c>
      <c r="C8" s="1">
        <v>56.33</v>
      </c>
      <c r="D8" s="1">
        <v>44.31</v>
      </c>
      <c r="E8" s="1">
        <v>9.01</v>
      </c>
      <c r="F8" s="1">
        <v>32.6</v>
      </c>
      <c r="G8" s="1">
        <v>98.91</v>
      </c>
    </row>
    <row r="9" spans="1:7" x14ac:dyDescent="0.25">
      <c r="A9" s="1" t="s">
        <v>13</v>
      </c>
      <c r="B9" s="1">
        <v>178.82</v>
      </c>
      <c r="C9" s="1">
        <v>508.36</v>
      </c>
      <c r="D9" s="1">
        <v>430.39</v>
      </c>
      <c r="E9" s="1">
        <v>23.3</v>
      </c>
      <c r="F9" s="1">
        <v>206.61</v>
      </c>
      <c r="G9" s="1">
        <v>954.06</v>
      </c>
    </row>
    <row r="10" spans="1:7" x14ac:dyDescent="0.25">
      <c r="A10" s="1" t="s">
        <v>14</v>
      </c>
      <c r="B10" s="1">
        <v>17.88</v>
      </c>
      <c r="C10" s="1">
        <v>51.35</v>
      </c>
      <c r="D10" s="1">
        <v>43.47</v>
      </c>
      <c r="E10" s="1">
        <v>2.35</v>
      </c>
      <c r="F10" s="1">
        <v>20.87</v>
      </c>
      <c r="G10" s="1">
        <v>97.35</v>
      </c>
    </row>
    <row r="11" spans="1:7" x14ac:dyDescent="0.25">
      <c r="A11" s="1" t="s">
        <v>15</v>
      </c>
      <c r="B11" s="1">
        <v>177.26</v>
      </c>
      <c r="C11" s="1">
        <v>331.5</v>
      </c>
      <c r="D11" s="1">
        <v>284.82</v>
      </c>
      <c r="E11" s="1">
        <v>8.8800000000000008</v>
      </c>
      <c r="F11" s="1">
        <v>91.67</v>
      </c>
      <c r="G11" s="1">
        <v>662.18</v>
      </c>
    </row>
    <row r="12" spans="1:7" x14ac:dyDescent="0.25">
      <c r="A12" s="1" t="s">
        <v>16</v>
      </c>
      <c r="B12" s="1">
        <v>385.14</v>
      </c>
      <c r="C12" s="1">
        <v>275.47000000000003</v>
      </c>
      <c r="D12" s="1">
        <v>335.44</v>
      </c>
      <c r="E12" s="1">
        <v>407.05</v>
      </c>
      <c r="F12" s="1">
        <v>346.77</v>
      </c>
      <c r="G12" s="1">
        <v>380.26</v>
      </c>
    </row>
    <row r="13" spans="1:7" x14ac:dyDescent="0.25">
      <c r="A13" s="1" t="s">
        <v>17</v>
      </c>
      <c r="B13" s="1">
        <v>27.17</v>
      </c>
      <c r="C13" s="1">
        <v>39.07</v>
      </c>
      <c r="D13" s="1">
        <v>44.29</v>
      </c>
      <c r="E13" s="1">
        <v>45.36</v>
      </c>
      <c r="F13" s="1">
        <v>57.98</v>
      </c>
      <c r="G13" s="1">
        <v>52.19</v>
      </c>
    </row>
    <row r="14" spans="1:7" x14ac:dyDescent="0.25">
      <c r="A14" s="1" t="s">
        <v>18</v>
      </c>
      <c r="B14" s="1">
        <v>97.73</v>
      </c>
      <c r="C14" s="1">
        <v>103.26</v>
      </c>
      <c r="D14" s="1">
        <v>108.51</v>
      </c>
      <c r="E14" s="1">
        <v>51.19</v>
      </c>
      <c r="F14" s="1">
        <v>109.24</v>
      </c>
      <c r="G14" s="1">
        <v>121.41</v>
      </c>
    </row>
    <row r="15" spans="1:7" x14ac:dyDescent="0.25">
      <c r="A15" s="1" t="s">
        <v>19</v>
      </c>
      <c r="B15" s="1">
        <v>1</v>
      </c>
      <c r="C15" s="1">
        <v>2</v>
      </c>
      <c r="D15" s="1">
        <v>3</v>
      </c>
      <c r="E15" s="1">
        <v>1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265.74</v>
      </c>
      <c r="C17" s="1">
        <v>533.02</v>
      </c>
      <c r="D17" s="1">
        <v>434.52</v>
      </c>
      <c r="E17" s="1">
        <v>56.27</v>
      </c>
      <c r="F17" s="1">
        <v>264.68</v>
      </c>
      <c r="G17" s="1">
        <v>961.69</v>
      </c>
    </row>
    <row r="18" spans="1:7" x14ac:dyDescent="0.25">
      <c r="A18" s="1" t="s">
        <v>22</v>
      </c>
      <c r="B18" s="1">
        <v>86.92</v>
      </c>
      <c r="C18" s="1">
        <v>24.66</v>
      </c>
      <c r="D18" s="1">
        <v>4.1399999999999997</v>
      </c>
      <c r="E18" s="1">
        <v>32.97</v>
      </c>
      <c r="F18" s="1">
        <v>58.08</v>
      </c>
      <c r="G18" s="1">
        <v>7.63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25">
      <c r="A20" s="1" t="s">
        <v>24</v>
      </c>
      <c r="B20" s="1">
        <v>1.3</v>
      </c>
      <c r="C20" s="1">
        <v>0</v>
      </c>
      <c r="D20" s="1">
        <v>0</v>
      </c>
      <c r="E20" s="1">
        <v>0</v>
      </c>
      <c r="F20" s="1">
        <v>4</v>
      </c>
      <c r="G20" s="1">
        <v>0</v>
      </c>
    </row>
    <row r="21" spans="1:7" x14ac:dyDescent="0.25">
      <c r="A21" s="1" t="s">
        <v>25</v>
      </c>
      <c r="B21" s="1">
        <v>8.8000000000000007</v>
      </c>
      <c r="C21" s="1">
        <v>10</v>
      </c>
      <c r="D21" s="1">
        <v>10</v>
      </c>
      <c r="E21" s="1">
        <v>10</v>
      </c>
      <c r="F21" s="1">
        <v>6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1.4</v>
      </c>
      <c r="G24" s="1">
        <v>0</v>
      </c>
    </row>
    <row r="25" spans="1:7" x14ac:dyDescent="0.25">
      <c r="A25" s="1" t="s">
        <v>29</v>
      </c>
      <c r="B25" s="1">
        <v>7.5</v>
      </c>
      <c r="C25" s="1">
        <v>2.8</v>
      </c>
      <c r="D25" s="1">
        <v>2.6</v>
      </c>
      <c r="E25" s="1">
        <v>10</v>
      </c>
      <c r="F25" s="1">
        <v>4.9000000000000004</v>
      </c>
      <c r="G25" s="1">
        <v>0</v>
      </c>
    </row>
    <row r="26" spans="1:7" x14ac:dyDescent="0.25">
      <c r="A26" s="1" t="s">
        <v>30</v>
      </c>
      <c r="B26" s="1">
        <v>2.6</v>
      </c>
      <c r="C26" s="1">
        <v>7.2</v>
      </c>
      <c r="D26" s="1">
        <v>7.4</v>
      </c>
      <c r="E26" s="1">
        <v>0</v>
      </c>
      <c r="F26" s="1">
        <v>3.7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13.999999999999998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74.257425742574256</v>
      </c>
      <c r="C30" s="3">
        <f t="shared" ref="C30:G30" si="2">C25/C28*100</f>
        <v>27.999999999999996</v>
      </c>
      <c r="D30" s="3">
        <f t="shared" si="2"/>
        <v>26</v>
      </c>
      <c r="E30" s="3">
        <f t="shared" si="2"/>
        <v>100</v>
      </c>
      <c r="F30" s="3">
        <f t="shared" si="2"/>
        <v>49.000000000000007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25.742574257425744</v>
      </c>
      <c r="C31" s="3">
        <f t="shared" ref="C31:G31" si="3">C26/C28*100</f>
        <v>72</v>
      </c>
      <c r="D31" s="3">
        <f t="shared" si="3"/>
        <v>74</v>
      </c>
      <c r="E31" s="3">
        <f t="shared" si="3"/>
        <v>0</v>
      </c>
      <c r="F31" s="3">
        <f t="shared" si="3"/>
        <v>37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19.920000000000002</v>
      </c>
      <c r="C33" s="3">
        <v>56.77</v>
      </c>
      <c r="D33" s="3">
        <v>44.11</v>
      </c>
      <c r="E33" s="3">
        <v>0.51</v>
      </c>
      <c r="F33" s="3">
        <v>9.51</v>
      </c>
      <c r="G33" s="3">
        <v>98.42</v>
      </c>
    </row>
    <row r="35" spans="1:7" x14ac:dyDescent="0.25">
      <c r="A35" s="3" t="s">
        <v>36</v>
      </c>
      <c r="B35" s="3"/>
      <c r="C35" s="3"/>
      <c r="D35" s="3">
        <f>D33-C33</f>
        <v>-12.660000000000004</v>
      </c>
      <c r="E35" s="3"/>
      <c r="F35" s="3">
        <f>F33-E33</f>
        <v>9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-43.6</v>
      </c>
      <c r="F37" s="3"/>
      <c r="G37" s="3">
        <f>G33-F33</f>
        <v>88.91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DDA7-71F1-4FBD-9DCA-03D79D440952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729.34</v>
      </c>
      <c r="C2" s="1">
        <v>739.36</v>
      </c>
      <c r="D2" s="1">
        <v>728.31</v>
      </c>
      <c r="E2" s="1">
        <v>696.8</v>
      </c>
      <c r="F2" s="1">
        <v>709.17</v>
      </c>
      <c r="G2" s="1">
        <v>748.52</v>
      </c>
    </row>
    <row r="3" spans="1:7" x14ac:dyDescent="0.25">
      <c r="A3" s="1" t="s">
        <v>7</v>
      </c>
      <c r="B3" s="1">
        <v>63.52</v>
      </c>
      <c r="C3" s="1">
        <v>64.08</v>
      </c>
      <c r="D3" s="1">
        <v>60.58</v>
      </c>
      <c r="E3" s="1">
        <v>55.02</v>
      </c>
      <c r="F3" s="1">
        <v>62</v>
      </c>
      <c r="G3" s="1">
        <v>64.56</v>
      </c>
    </row>
    <row r="4" spans="1:7" x14ac:dyDescent="0.25">
      <c r="A4" s="1" t="s">
        <v>8</v>
      </c>
      <c r="B4" s="1">
        <v>47110.07</v>
      </c>
      <c r="C4" s="1">
        <v>48178.76</v>
      </c>
      <c r="D4" s="1">
        <v>44868.77</v>
      </c>
      <c r="E4" s="1">
        <v>38988.480000000003</v>
      </c>
      <c r="F4" s="1">
        <v>44773.06</v>
      </c>
      <c r="G4" s="1">
        <v>49156.72</v>
      </c>
    </row>
    <row r="5" spans="1:7" x14ac:dyDescent="0.25">
      <c r="A5" s="1" t="s">
        <v>9</v>
      </c>
      <c r="B5" s="1">
        <v>813.06</v>
      </c>
      <c r="C5" s="1">
        <v>701.99</v>
      </c>
      <c r="D5" s="1">
        <v>472.08</v>
      </c>
      <c r="E5" s="1">
        <v>270.51</v>
      </c>
      <c r="F5" s="1">
        <v>412.22</v>
      </c>
      <c r="G5" s="1">
        <v>1167.24</v>
      </c>
    </row>
    <row r="6" spans="1:7" x14ac:dyDescent="0.25">
      <c r="A6" s="3" t="s">
        <v>10</v>
      </c>
      <c r="B6" s="3">
        <v>81.31</v>
      </c>
      <c r="C6" s="3">
        <v>70.91</v>
      </c>
      <c r="D6" s="3">
        <v>47.69</v>
      </c>
      <c r="E6" s="3">
        <v>27.32</v>
      </c>
      <c r="F6" s="3">
        <v>41.64</v>
      </c>
      <c r="G6" s="3">
        <v>119.11</v>
      </c>
    </row>
    <row r="7" spans="1:7" x14ac:dyDescent="0.25">
      <c r="A7" s="1" t="s">
        <v>11</v>
      </c>
      <c r="B7" s="1">
        <v>793.49</v>
      </c>
      <c r="C7" s="1">
        <v>684.97</v>
      </c>
      <c r="D7" s="1">
        <v>460.99</v>
      </c>
      <c r="E7" s="1">
        <v>264.83</v>
      </c>
      <c r="F7" s="1">
        <v>397.01</v>
      </c>
      <c r="G7" s="1">
        <v>1153.74</v>
      </c>
    </row>
    <row r="8" spans="1:7" x14ac:dyDescent="0.25">
      <c r="A8" s="1" t="s">
        <v>12</v>
      </c>
      <c r="B8" s="1">
        <v>79.349999999999994</v>
      </c>
      <c r="C8" s="1">
        <v>69.19</v>
      </c>
      <c r="D8" s="1">
        <v>46.56</v>
      </c>
      <c r="E8" s="1">
        <v>26.75</v>
      </c>
      <c r="F8" s="1">
        <v>40.1</v>
      </c>
      <c r="G8" s="1">
        <v>117.73</v>
      </c>
    </row>
    <row r="9" spans="1:7" x14ac:dyDescent="0.25">
      <c r="A9" s="1" t="s">
        <v>13</v>
      </c>
      <c r="B9" s="1">
        <v>331.39</v>
      </c>
      <c r="C9" s="1">
        <v>668.24</v>
      </c>
      <c r="D9" s="1">
        <v>425.72</v>
      </c>
      <c r="E9" s="1">
        <v>-42.29</v>
      </c>
      <c r="F9" s="1">
        <v>-176.1</v>
      </c>
      <c r="G9" s="1">
        <v>1153.74</v>
      </c>
    </row>
    <row r="10" spans="1:7" x14ac:dyDescent="0.25">
      <c r="A10" s="1" t="s">
        <v>14</v>
      </c>
      <c r="B10" s="1">
        <v>33.14</v>
      </c>
      <c r="C10" s="1">
        <v>67.5</v>
      </c>
      <c r="D10" s="1">
        <v>43</v>
      </c>
      <c r="E10" s="1">
        <v>-4.2699999999999996</v>
      </c>
      <c r="F10" s="1">
        <v>-17.79</v>
      </c>
      <c r="G10" s="1">
        <v>117.73</v>
      </c>
    </row>
    <row r="11" spans="1:7" x14ac:dyDescent="0.25">
      <c r="A11" s="1" t="s">
        <v>15</v>
      </c>
      <c r="B11" s="1">
        <v>162.6</v>
      </c>
      <c r="C11" s="1">
        <v>502.93</v>
      </c>
      <c r="D11" s="1">
        <v>301.94</v>
      </c>
      <c r="E11" s="1">
        <v>31.8</v>
      </c>
      <c r="F11" s="1">
        <v>135.57</v>
      </c>
      <c r="G11" s="1">
        <v>806.03</v>
      </c>
    </row>
    <row r="12" spans="1:7" x14ac:dyDescent="0.25">
      <c r="A12" s="1" t="s">
        <v>16</v>
      </c>
      <c r="B12" s="1">
        <v>320.27</v>
      </c>
      <c r="C12" s="1">
        <v>325.72000000000003</v>
      </c>
      <c r="D12" s="1">
        <v>319.74</v>
      </c>
      <c r="E12" s="1">
        <v>395.63</v>
      </c>
      <c r="F12" s="1">
        <v>392.17</v>
      </c>
      <c r="G12" s="1">
        <v>362.73</v>
      </c>
    </row>
    <row r="13" spans="1:7" x14ac:dyDescent="0.25">
      <c r="A13" s="1" t="s">
        <v>17</v>
      </c>
      <c r="B13" s="1">
        <v>58.26</v>
      </c>
      <c r="C13" s="1">
        <v>45.89</v>
      </c>
      <c r="D13" s="1">
        <v>46.08</v>
      </c>
      <c r="E13" s="1">
        <v>17.04</v>
      </c>
      <c r="F13" s="1">
        <v>25.66</v>
      </c>
      <c r="G13" s="1">
        <v>49.26</v>
      </c>
    </row>
    <row r="14" spans="1:7" x14ac:dyDescent="0.25">
      <c r="A14" s="1" t="s">
        <v>18</v>
      </c>
      <c r="B14" s="1">
        <v>114.58</v>
      </c>
      <c r="C14" s="1">
        <v>93.98</v>
      </c>
      <c r="D14" s="1">
        <v>93.57</v>
      </c>
      <c r="E14" s="1">
        <v>22.47</v>
      </c>
      <c r="F14" s="1">
        <v>58.84</v>
      </c>
      <c r="G14" s="1">
        <v>98.3</v>
      </c>
    </row>
    <row r="15" spans="1:7" x14ac:dyDescent="0.25">
      <c r="A15" s="1" t="s">
        <v>19</v>
      </c>
      <c r="B15" s="1">
        <v>3</v>
      </c>
      <c r="C15" s="1">
        <v>4</v>
      </c>
      <c r="D15" s="1">
        <v>3</v>
      </c>
      <c r="E15" s="1">
        <v>0</v>
      </c>
      <c r="F15" s="1">
        <v>1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562.44000000000005</v>
      </c>
      <c r="C17" s="1">
        <v>676.61</v>
      </c>
      <c r="D17" s="1">
        <v>443.35</v>
      </c>
      <c r="E17" s="1">
        <v>111.27</v>
      </c>
      <c r="F17" s="1">
        <v>110.46</v>
      </c>
      <c r="G17" s="1">
        <v>1153.74</v>
      </c>
    </row>
    <row r="18" spans="1:7" x14ac:dyDescent="0.25">
      <c r="A18" s="1" t="s">
        <v>22</v>
      </c>
      <c r="B18" s="1">
        <v>231.05</v>
      </c>
      <c r="C18" s="1">
        <v>8.3699999999999992</v>
      </c>
      <c r="D18" s="1">
        <v>17.64</v>
      </c>
      <c r="E18" s="1">
        <v>153.56</v>
      </c>
      <c r="F18" s="1">
        <v>286.56</v>
      </c>
      <c r="G18" s="1">
        <v>0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4</v>
      </c>
      <c r="F19" s="1">
        <v>3</v>
      </c>
      <c r="G19" s="1">
        <v>0</v>
      </c>
    </row>
    <row r="20" spans="1:7" x14ac:dyDescent="0.25">
      <c r="A20" s="1" t="s">
        <v>24</v>
      </c>
      <c r="B20" s="1">
        <v>2.1</v>
      </c>
      <c r="C20" s="1">
        <v>0</v>
      </c>
      <c r="D20" s="1">
        <v>0</v>
      </c>
      <c r="E20" s="1">
        <v>6.8</v>
      </c>
      <c r="F20" s="1">
        <v>5.5</v>
      </c>
      <c r="G20" s="1">
        <v>0</v>
      </c>
    </row>
    <row r="21" spans="1:7" x14ac:dyDescent="0.25">
      <c r="A21" s="1" t="s">
        <v>25</v>
      </c>
      <c r="B21" s="1">
        <v>8</v>
      </c>
      <c r="C21" s="1">
        <v>10</v>
      </c>
      <c r="D21" s="1">
        <v>10</v>
      </c>
      <c r="E21" s="1">
        <v>3.2</v>
      </c>
      <c r="F21" s="1">
        <v>4.5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2</v>
      </c>
      <c r="C24" s="1">
        <v>0</v>
      </c>
      <c r="D24" s="1">
        <v>0</v>
      </c>
      <c r="E24" s="1">
        <v>0</v>
      </c>
      <c r="F24" s="1">
        <v>3.7</v>
      </c>
      <c r="G24" s="1">
        <v>0</v>
      </c>
    </row>
    <row r="25" spans="1:7" x14ac:dyDescent="0.25">
      <c r="A25" s="1" t="s">
        <v>29</v>
      </c>
      <c r="B25" s="1">
        <v>0</v>
      </c>
      <c r="C25" s="1">
        <v>0</v>
      </c>
      <c r="D25" s="1">
        <v>2.4</v>
      </c>
      <c r="E25" s="1">
        <v>10</v>
      </c>
      <c r="F25" s="1">
        <v>6.3</v>
      </c>
      <c r="G25" s="1">
        <v>0</v>
      </c>
    </row>
    <row r="26" spans="1:7" x14ac:dyDescent="0.25">
      <c r="A26" s="1" t="s">
        <v>30</v>
      </c>
      <c r="B26" s="1">
        <v>8.1</v>
      </c>
      <c r="C26" s="1">
        <v>10</v>
      </c>
      <c r="D26" s="1">
        <v>7.6</v>
      </c>
      <c r="E26" s="1">
        <v>0</v>
      </c>
      <c r="F26" s="1">
        <v>0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19.801980198019802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37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24</v>
      </c>
      <c r="E30" s="3">
        <f t="shared" si="2"/>
        <v>100</v>
      </c>
      <c r="F30" s="3">
        <f t="shared" si="2"/>
        <v>63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80.198019801980209</v>
      </c>
      <c r="C31" s="3">
        <f t="shared" ref="C31:G31" si="3">C26/C28*100</f>
        <v>100</v>
      </c>
      <c r="D31" s="3">
        <f t="shared" si="3"/>
        <v>76</v>
      </c>
      <c r="E31" s="3">
        <f t="shared" si="3"/>
        <v>0</v>
      </c>
      <c r="F31" s="3">
        <f t="shared" si="3"/>
        <v>0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21.32</v>
      </c>
      <c r="C33" s="3">
        <v>66.31</v>
      </c>
      <c r="D33" s="3">
        <v>42.76</v>
      </c>
      <c r="E33" s="3">
        <v>-3.1</v>
      </c>
      <c r="F33" s="3">
        <v>-16.96</v>
      </c>
      <c r="G33" s="3">
        <v>119.46</v>
      </c>
    </row>
    <row r="35" spans="1:7" x14ac:dyDescent="0.25">
      <c r="A35" s="3" t="s">
        <v>36</v>
      </c>
      <c r="B35" s="3"/>
      <c r="C35" s="3"/>
      <c r="D35" s="3">
        <f>D33-C33</f>
        <v>-23.550000000000004</v>
      </c>
      <c r="E35" s="3"/>
      <c r="F35" s="3">
        <f>F33-E33</f>
        <v>-13.860000000000001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-45.86</v>
      </c>
      <c r="F37" s="3"/>
      <c r="G37" s="3">
        <f>G33-F33</f>
        <v>136.41999999999999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27A8-1982-4B1F-8508-3918A1AE0A7F}">
  <dimension ref="A1:G37"/>
  <sheetViews>
    <sheetView zoomScale="80" zoomScaleNormal="80" workbookViewId="0">
      <selection activeCell="M17" sqref="M1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726.64</v>
      </c>
      <c r="C2" s="1">
        <v>722.08</v>
      </c>
      <c r="D2" s="1">
        <v>726.48</v>
      </c>
      <c r="E2" s="1">
        <v>719.28</v>
      </c>
      <c r="F2" s="1">
        <v>717.9</v>
      </c>
      <c r="G2" s="1">
        <v>713.26</v>
      </c>
    </row>
    <row r="3" spans="1:7" x14ac:dyDescent="0.25">
      <c r="A3" s="1" t="s">
        <v>7</v>
      </c>
      <c r="B3" s="1">
        <v>52.02</v>
      </c>
      <c r="C3" s="1">
        <v>56.89</v>
      </c>
      <c r="D3" s="1">
        <v>54.7</v>
      </c>
      <c r="E3" s="1">
        <v>58.12</v>
      </c>
      <c r="F3" s="1">
        <v>55.77</v>
      </c>
      <c r="G3" s="1">
        <v>59.29</v>
      </c>
    </row>
    <row r="4" spans="1:7" x14ac:dyDescent="0.25">
      <c r="A4" s="1" t="s">
        <v>8</v>
      </c>
      <c r="B4" s="1">
        <v>38447.15</v>
      </c>
      <c r="C4" s="1">
        <v>41754.07</v>
      </c>
      <c r="D4" s="1">
        <v>40407.94</v>
      </c>
      <c r="E4" s="1">
        <v>42501.86</v>
      </c>
      <c r="F4" s="1">
        <v>40683.89</v>
      </c>
      <c r="G4" s="1">
        <v>42962.720000000001</v>
      </c>
    </row>
    <row r="5" spans="1:7" x14ac:dyDescent="0.25">
      <c r="A5" s="1" t="s">
        <v>9</v>
      </c>
      <c r="B5" s="1">
        <v>683.45</v>
      </c>
      <c r="C5" s="1">
        <v>1178.5</v>
      </c>
      <c r="D5" s="1">
        <v>541.38</v>
      </c>
      <c r="E5" s="1">
        <v>369.33</v>
      </c>
      <c r="F5" s="1">
        <v>486.7</v>
      </c>
      <c r="G5" s="1">
        <v>1395.14</v>
      </c>
    </row>
    <row r="6" spans="1:7" x14ac:dyDescent="0.25">
      <c r="A6" s="3" t="s">
        <v>10</v>
      </c>
      <c r="B6" s="3">
        <v>68.349999999999994</v>
      </c>
      <c r="C6" s="3">
        <v>119.04</v>
      </c>
      <c r="D6" s="3">
        <v>54.68</v>
      </c>
      <c r="E6" s="3">
        <v>37.31</v>
      </c>
      <c r="F6" s="3">
        <v>49.16</v>
      </c>
      <c r="G6" s="3">
        <v>142.36000000000001</v>
      </c>
    </row>
    <row r="7" spans="1:7" x14ac:dyDescent="0.25">
      <c r="A7" s="1" t="s">
        <v>11</v>
      </c>
      <c r="B7" s="1">
        <v>669.63</v>
      </c>
      <c r="C7" s="1">
        <v>1167.49</v>
      </c>
      <c r="D7" s="1">
        <v>529</v>
      </c>
      <c r="E7" s="1">
        <v>350.62</v>
      </c>
      <c r="F7" s="1">
        <v>472.78</v>
      </c>
      <c r="G7" s="1">
        <v>1332.82</v>
      </c>
    </row>
    <row r="8" spans="1:7" x14ac:dyDescent="0.25">
      <c r="A8" s="1" t="s">
        <v>12</v>
      </c>
      <c r="B8" s="1">
        <v>66.959999999999994</v>
      </c>
      <c r="C8" s="1">
        <v>117.93</v>
      </c>
      <c r="D8" s="1">
        <v>53.43</v>
      </c>
      <c r="E8" s="1">
        <v>35.42</v>
      </c>
      <c r="F8" s="1">
        <v>47.76</v>
      </c>
      <c r="G8" s="1">
        <v>136</v>
      </c>
    </row>
    <row r="9" spans="1:7" x14ac:dyDescent="0.25">
      <c r="A9" s="1" t="s">
        <v>13</v>
      </c>
      <c r="B9" s="1">
        <v>644.02</v>
      </c>
      <c r="C9" s="1">
        <v>1167.49</v>
      </c>
      <c r="D9" s="1">
        <v>354.34</v>
      </c>
      <c r="E9" s="1">
        <v>264.60000000000002</v>
      </c>
      <c r="F9" s="1">
        <v>441.18</v>
      </c>
      <c r="G9" s="1">
        <v>-1106.3499999999999</v>
      </c>
    </row>
    <row r="10" spans="1:7" x14ac:dyDescent="0.25">
      <c r="A10" s="1" t="s">
        <v>14</v>
      </c>
      <c r="B10" s="1">
        <v>64.400000000000006</v>
      </c>
      <c r="C10" s="1">
        <v>117.93</v>
      </c>
      <c r="D10" s="1">
        <v>35.79</v>
      </c>
      <c r="E10" s="1">
        <v>26.73</v>
      </c>
      <c r="F10" s="1">
        <v>44.56</v>
      </c>
      <c r="G10" s="1">
        <v>-112.89</v>
      </c>
    </row>
    <row r="11" spans="1:7" x14ac:dyDescent="0.25">
      <c r="A11" s="1" t="s">
        <v>15</v>
      </c>
      <c r="B11" s="1">
        <v>546.37</v>
      </c>
      <c r="C11" s="1">
        <v>895.28</v>
      </c>
      <c r="D11" s="1">
        <v>327.9</v>
      </c>
      <c r="E11" s="1">
        <v>226.01</v>
      </c>
      <c r="F11" s="1">
        <v>287.82</v>
      </c>
      <c r="G11" s="1">
        <v>553.33000000000004</v>
      </c>
    </row>
    <row r="12" spans="1:7" x14ac:dyDescent="0.25">
      <c r="A12" s="1" t="s">
        <v>16</v>
      </c>
      <c r="B12" s="1">
        <v>362.92</v>
      </c>
      <c r="C12" s="1">
        <v>370.45</v>
      </c>
      <c r="D12" s="1">
        <v>352.06</v>
      </c>
      <c r="E12" s="1">
        <v>367.67</v>
      </c>
      <c r="F12" s="1">
        <v>367.79</v>
      </c>
      <c r="G12" s="1">
        <v>340.57</v>
      </c>
    </row>
    <row r="13" spans="1:7" x14ac:dyDescent="0.25">
      <c r="A13" s="1" t="s">
        <v>17</v>
      </c>
      <c r="B13" s="1">
        <v>47.32</v>
      </c>
      <c r="C13" s="1">
        <v>37.880000000000003</v>
      </c>
      <c r="D13" s="1">
        <v>33.82</v>
      </c>
      <c r="E13" s="1">
        <v>30.53</v>
      </c>
      <c r="F13" s="1">
        <v>58.79</v>
      </c>
      <c r="G13" s="1">
        <v>58.59</v>
      </c>
    </row>
    <row r="14" spans="1:7" x14ac:dyDescent="0.25">
      <c r="A14" s="1" t="s">
        <v>18</v>
      </c>
      <c r="B14" s="1">
        <v>94.83</v>
      </c>
      <c r="C14" s="1">
        <v>88.9</v>
      </c>
      <c r="D14" s="1">
        <v>70.209999999999994</v>
      </c>
      <c r="E14" s="1">
        <v>80.58</v>
      </c>
      <c r="F14" s="1">
        <v>126.5</v>
      </c>
      <c r="G14" s="1">
        <v>132.41</v>
      </c>
    </row>
    <row r="15" spans="1:7" x14ac:dyDescent="0.25">
      <c r="A15" s="1" t="s">
        <v>19</v>
      </c>
      <c r="B15" s="1">
        <v>3</v>
      </c>
      <c r="C15" s="1">
        <v>2</v>
      </c>
      <c r="D15" s="1">
        <v>2</v>
      </c>
      <c r="E15" s="1">
        <v>1</v>
      </c>
      <c r="F15" s="1">
        <v>2</v>
      </c>
      <c r="G15" s="1">
        <v>5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656.82</v>
      </c>
      <c r="C17" s="1">
        <v>1167.49</v>
      </c>
      <c r="D17" s="1">
        <v>441.67</v>
      </c>
      <c r="E17" s="1">
        <v>307.61</v>
      </c>
      <c r="F17" s="1">
        <v>456.98</v>
      </c>
      <c r="G17" s="1">
        <v>113.23</v>
      </c>
    </row>
    <row r="18" spans="1:7" x14ac:dyDescent="0.25">
      <c r="A18" s="1" t="s">
        <v>22</v>
      </c>
      <c r="B18" s="1">
        <v>12.81</v>
      </c>
      <c r="C18" s="1">
        <v>0</v>
      </c>
      <c r="D18" s="1">
        <v>87.33</v>
      </c>
      <c r="E18" s="1">
        <v>43.01</v>
      </c>
      <c r="F18" s="1">
        <v>15.8</v>
      </c>
      <c r="G18" s="1">
        <v>1219.58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1.6</v>
      </c>
      <c r="E20" s="1">
        <v>1.1000000000000001</v>
      </c>
      <c r="F20" s="1">
        <v>0</v>
      </c>
      <c r="G20" s="1">
        <v>6.2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8.4</v>
      </c>
      <c r="E21" s="1">
        <v>8.9</v>
      </c>
      <c r="F21" s="1">
        <v>10</v>
      </c>
      <c r="G21" s="1">
        <v>3.7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5.8</v>
      </c>
    </row>
    <row r="25" spans="1:7" x14ac:dyDescent="0.25">
      <c r="A25" s="1" t="s">
        <v>29</v>
      </c>
      <c r="B25" s="1">
        <v>1.2</v>
      </c>
      <c r="C25" s="1">
        <v>0</v>
      </c>
      <c r="D25" s="1">
        <v>3.8</v>
      </c>
      <c r="E25" s="1">
        <v>3.4</v>
      </c>
      <c r="F25" s="1">
        <v>3.8</v>
      </c>
      <c r="G25" s="1">
        <v>1.6</v>
      </c>
    </row>
    <row r="26" spans="1:7" x14ac:dyDescent="0.25">
      <c r="A26" s="1" t="s">
        <v>30</v>
      </c>
      <c r="B26" s="1">
        <v>8.9</v>
      </c>
      <c r="C26" s="1">
        <v>10</v>
      </c>
      <c r="D26" s="1">
        <v>6.2</v>
      </c>
      <c r="E26" s="1">
        <v>6.6</v>
      </c>
      <c r="F26" s="1">
        <v>6.2</v>
      </c>
      <c r="G26" s="1">
        <v>2.5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58.585858585858588</v>
      </c>
    </row>
    <row r="30" spans="1:7" x14ac:dyDescent="0.25">
      <c r="A30" s="3" t="s">
        <v>33</v>
      </c>
      <c r="B30" s="3">
        <f>B25/B28*100</f>
        <v>11.881188118811881</v>
      </c>
      <c r="C30" s="3">
        <f t="shared" ref="C30:G30" si="2">C25/C28*100</f>
        <v>0</v>
      </c>
      <c r="D30" s="3">
        <f t="shared" si="2"/>
        <v>38</v>
      </c>
      <c r="E30" s="3">
        <f t="shared" si="2"/>
        <v>34</v>
      </c>
      <c r="F30" s="3">
        <f t="shared" si="2"/>
        <v>38</v>
      </c>
      <c r="G30" s="3">
        <f t="shared" si="2"/>
        <v>16.161616161616163</v>
      </c>
    </row>
    <row r="31" spans="1:7" x14ac:dyDescent="0.25">
      <c r="A31" s="3" t="s">
        <v>34</v>
      </c>
      <c r="B31" s="3">
        <f>B26/B28*100</f>
        <v>88.118811881188137</v>
      </c>
      <c r="C31" s="3">
        <f t="shared" ref="C31:G31" si="3">C26/C28*100</f>
        <v>100</v>
      </c>
      <c r="D31" s="3">
        <f t="shared" si="3"/>
        <v>62</v>
      </c>
      <c r="E31" s="3">
        <f t="shared" si="3"/>
        <v>65.999999999999986</v>
      </c>
      <c r="F31" s="3">
        <f t="shared" si="3"/>
        <v>62</v>
      </c>
      <c r="G31" s="3">
        <f t="shared" si="3"/>
        <v>25.252525252525253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63.5</v>
      </c>
      <c r="C33" s="3">
        <v>119.86</v>
      </c>
      <c r="D33" s="3">
        <v>36.33</v>
      </c>
      <c r="E33" s="3">
        <v>26.91</v>
      </c>
      <c r="F33" s="3">
        <v>44.87</v>
      </c>
      <c r="G33" s="3">
        <v>-92.9</v>
      </c>
    </row>
    <row r="35" spans="1:7" x14ac:dyDescent="0.25">
      <c r="A35" s="3" t="s">
        <v>36</v>
      </c>
      <c r="B35" s="3"/>
      <c r="C35" s="3"/>
      <c r="D35" s="3">
        <f>D33-C33</f>
        <v>-83.53</v>
      </c>
      <c r="E35" s="3"/>
      <c r="F35" s="3">
        <f>F33-E33</f>
        <v>17.959999999999997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-9.4199999999999982</v>
      </c>
      <c r="F37" s="3"/>
      <c r="G37" s="3">
        <f>G33-F33</f>
        <v>-137.77000000000001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FE00-B1AF-4D72-B201-3132484AFA90}">
  <dimension ref="A1:G37"/>
  <sheetViews>
    <sheetView zoomScale="80" zoomScaleNormal="80" workbookViewId="0">
      <selection activeCell="O27" sqref="O27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785.12</v>
      </c>
      <c r="C2" s="1">
        <v>798.01</v>
      </c>
      <c r="D2" s="1">
        <v>804.55</v>
      </c>
      <c r="E2" s="1">
        <v>788.02</v>
      </c>
      <c r="F2" s="1">
        <v>796.15</v>
      </c>
      <c r="G2" s="1">
        <v>746.77</v>
      </c>
    </row>
    <row r="3" spans="1:7" x14ac:dyDescent="0.25">
      <c r="A3" s="1" t="s">
        <v>7</v>
      </c>
      <c r="B3" s="1">
        <v>63.75</v>
      </c>
      <c r="C3" s="1">
        <v>63.21</v>
      </c>
      <c r="D3" s="1">
        <v>63.79</v>
      </c>
      <c r="E3" s="1">
        <v>63.19</v>
      </c>
      <c r="F3" s="1">
        <v>64.760000000000005</v>
      </c>
      <c r="G3" s="1">
        <v>70.900000000000006</v>
      </c>
    </row>
    <row r="4" spans="1:7" x14ac:dyDescent="0.25">
      <c r="A4" s="1" t="s">
        <v>8</v>
      </c>
      <c r="B4" s="1">
        <v>50909.95</v>
      </c>
      <c r="C4" s="1">
        <v>51314.559999999998</v>
      </c>
      <c r="D4" s="1">
        <v>52198.17</v>
      </c>
      <c r="E4" s="1">
        <v>50640.86</v>
      </c>
      <c r="F4" s="1">
        <v>52439.09</v>
      </c>
      <c r="G4" s="1">
        <v>53775.92</v>
      </c>
    </row>
    <row r="5" spans="1:7" x14ac:dyDescent="0.25">
      <c r="A5" s="1" t="s">
        <v>9</v>
      </c>
      <c r="B5" s="1">
        <v>1648.93</v>
      </c>
      <c r="C5" s="1">
        <v>1611.99</v>
      </c>
      <c r="D5" s="1">
        <v>697.4</v>
      </c>
      <c r="E5" s="1">
        <v>1269.8699999999999</v>
      </c>
      <c r="F5" s="1">
        <v>1859.61</v>
      </c>
      <c r="G5" s="1">
        <v>1637.67</v>
      </c>
    </row>
    <row r="6" spans="1:7" x14ac:dyDescent="0.25">
      <c r="A6" s="3" t="s">
        <v>10</v>
      </c>
      <c r="B6" s="3">
        <v>164.89</v>
      </c>
      <c r="C6" s="3">
        <v>162.83000000000001</v>
      </c>
      <c r="D6" s="3">
        <v>70.44</v>
      </c>
      <c r="E6" s="3">
        <v>128.27000000000001</v>
      </c>
      <c r="F6" s="3">
        <v>187.84</v>
      </c>
      <c r="G6" s="3">
        <v>167.11</v>
      </c>
    </row>
    <row r="7" spans="1:7" x14ac:dyDescent="0.25">
      <c r="A7" s="1" t="s">
        <v>11</v>
      </c>
      <c r="B7" s="1">
        <v>1606.65</v>
      </c>
      <c r="C7" s="1">
        <v>1581.52</v>
      </c>
      <c r="D7" s="1">
        <v>687.9</v>
      </c>
      <c r="E7" s="1">
        <v>1243.6500000000001</v>
      </c>
      <c r="F7" s="1">
        <v>1823.8</v>
      </c>
      <c r="G7" s="1">
        <v>1593.94</v>
      </c>
    </row>
    <row r="8" spans="1:7" x14ac:dyDescent="0.25">
      <c r="A8" s="1" t="s">
        <v>12</v>
      </c>
      <c r="B8" s="1">
        <v>160.66</v>
      </c>
      <c r="C8" s="1">
        <v>159.75</v>
      </c>
      <c r="D8" s="1">
        <v>69.48</v>
      </c>
      <c r="E8" s="1">
        <v>125.62</v>
      </c>
      <c r="F8" s="1">
        <v>184.22</v>
      </c>
      <c r="G8" s="1">
        <v>162.65</v>
      </c>
    </row>
    <row r="9" spans="1:7" x14ac:dyDescent="0.25">
      <c r="A9" s="1" t="s">
        <v>13</v>
      </c>
      <c r="B9" s="1">
        <v>1606.65</v>
      </c>
      <c r="C9" s="1">
        <v>1581.52</v>
      </c>
      <c r="D9" s="1">
        <v>659.53</v>
      </c>
      <c r="E9" s="1">
        <v>1243.6500000000001</v>
      </c>
      <c r="F9" s="1">
        <v>1823.8</v>
      </c>
      <c r="G9" s="1">
        <v>-1130.25</v>
      </c>
    </row>
    <row r="10" spans="1:7" x14ac:dyDescent="0.25">
      <c r="A10" s="1" t="s">
        <v>14</v>
      </c>
      <c r="B10" s="1">
        <v>160.66</v>
      </c>
      <c r="C10" s="1">
        <v>159.75</v>
      </c>
      <c r="D10" s="1">
        <v>66.62</v>
      </c>
      <c r="E10" s="1">
        <v>125.62</v>
      </c>
      <c r="F10" s="1">
        <v>184.22</v>
      </c>
      <c r="G10" s="1">
        <v>-115.33</v>
      </c>
    </row>
    <row r="11" spans="1:7" x14ac:dyDescent="0.25">
      <c r="A11" s="1" t="s">
        <v>15</v>
      </c>
      <c r="B11" s="1">
        <v>1276.8399999999999</v>
      </c>
      <c r="C11" s="1">
        <v>1266.1400000000001</v>
      </c>
      <c r="D11" s="1">
        <v>564.91</v>
      </c>
      <c r="E11" s="1">
        <v>1077.5</v>
      </c>
      <c r="F11" s="1">
        <v>1562</v>
      </c>
      <c r="G11" s="1">
        <v>564.19000000000005</v>
      </c>
    </row>
    <row r="12" spans="1:7" x14ac:dyDescent="0.25">
      <c r="A12" s="1" t="s">
        <v>16</v>
      </c>
      <c r="B12" s="1">
        <v>399.47</v>
      </c>
      <c r="C12" s="1">
        <v>413.26</v>
      </c>
      <c r="D12" s="1">
        <v>421.49</v>
      </c>
      <c r="E12" s="1">
        <v>411.4</v>
      </c>
      <c r="F12" s="1">
        <v>439.72</v>
      </c>
      <c r="G12" s="1">
        <v>324.91000000000003</v>
      </c>
    </row>
    <row r="13" spans="1:7" x14ac:dyDescent="0.25">
      <c r="A13" s="1" t="s">
        <v>17</v>
      </c>
      <c r="B13" s="1">
        <v>58.35</v>
      </c>
      <c r="C13" s="1">
        <v>46.71</v>
      </c>
      <c r="D13" s="1">
        <v>43.47</v>
      </c>
      <c r="E13" s="1">
        <v>43.1</v>
      </c>
      <c r="F13" s="1">
        <v>48.38</v>
      </c>
      <c r="G13" s="1">
        <v>94.58</v>
      </c>
    </row>
    <row r="14" spans="1:7" x14ac:dyDescent="0.25">
      <c r="A14" s="1" t="s">
        <v>18</v>
      </c>
      <c r="B14" s="1">
        <v>118.88</v>
      </c>
      <c r="C14" s="1">
        <v>94.62</v>
      </c>
      <c r="D14" s="1">
        <v>73.930000000000007</v>
      </c>
      <c r="E14" s="1">
        <v>85.6</v>
      </c>
      <c r="F14" s="1">
        <v>89.39</v>
      </c>
      <c r="G14" s="1">
        <v>154.82</v>
      </c>
    </row>
    <row r="15" spans="1:7" x14ac:dyDescent="0.25">
      <c r="A15" s="1" t="s">
        <v>19</v>
      </c>
      <c r="B15" s="1">
        <v>4</v>
      </c>
      <c r="C15" s="1">
        <v>2</v>
      </c>
      <c r="D15" s="1">
        <v>2</v>
      </c>
      <c r="E15" s="1">
        <v>4</v>
      </c>
      <c r="F15" s="1">
        <v>6</v>
      </c>
      <c r="G15" s="1">
        <v>6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1606.65</v>
      </c>
      <c r="C17" s="1">
        <v>1581.52</v>
      </c>
      <c r="D17" s="1">
        <v>673.71</v>
      </c>
      <c r="E17" s="1">
        <v>1243.6500000000001</v>
      </c>
      <c r="F17" s="1">
        <v>1823.8</v>
      </c>
      <c r="G17" s="1">
        <v>231.84</v>
      </c>
    </row>
    <row r="18" spans="1:7" x14ac:dyDescent="0.25">
      <c r="A18" s="1" t="s">
        <v>22</v>
      </c>
      <c r="B18" s="1">
        <v>0</v>
      </c>
      <c r="C18" s="1">
        <v>0</v>
      </c>
      <c r="D18" s="1">
        <v>14.19</v>
      </c>
      <c r="E18" s="1">
        <v>0</v>
      </c>
      <c r="F18" s="1">
        <v>0</v>
      </c>
      <c r="G18" s="1">
        <v>1362.1</v>
      </c>
    </row>
    <row r="19" spans="1:7" x14ac:dyDescent="0.25">
      <c r="A19" s="1" t="s">
        <v>23</v>
      </c>
      <c r="B19" s="1">
        <v>0</v>
      </c>
      <c r="C19" s="1">
        <v>0</v>
      </c>
      <c r="D19" s="1">
        <v>1</v>
      </c>
      <c r="E19" s="1">
        <v>0</v>
      </c>
      <c r="F19" s="1">
        <v>0</v>
      </c>
      <c r="G19" s="1">
        <v>1</v>
      </c>
    </row>
    <row r="20" spans="1:7" x14ac:dyDescent="0.25">
      <c r="A20" s="1" t="s">
        <v>24</v>
      </c>
      <c r="B20" s="1">
        <v>0</v>
      </c>
      <c r="C20" s="1">
        <v>0</v>
      </c>
      <c r="D20" s="1">
        <v>1</v>
      </c>
      <c r="E20" s="1">
        <v>0</v>
      </c>
      <c r="F20" s="1">
        <v>0</v>
      </c>
      <c r="G20" s="1">
        <v>4.9000000000000004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9</v>
      </c>
      <c r="E21" s="1">
        <v>10</v>
      </c>
      <c r="F21" s="1">
        <v>10</v>
      </c>
      <c r="G21" s="1">
        <v>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4.4000000000000004</v>
      </c>
    </row>
    <row r="25" spans="1:7" x14ac:dyDescent="0.25">
      <c r="A25" s="1" t="s">
        <v>29</v>
      </c>
      <c r="B25" s="1">
        <v>0</v>
      </c>
      <c r="C25" s="1">
        <v>0</v>
      </c>
      <c r="D25" s="1">
        <v>1.4</v>
      </c>
      <c r="E25" s="1">
        <v>0</v>
      </c>
      <c r="F25" s="1">
        <v>0</v>
      </c>
      <c r="G25" s="1">
        <v>1.1000000000000001</v>
      </c>
    </row>
    <row r="26" spans="1:7" x14ac:dyDescent="0.25">
      <c r="A26" s="1" t="s">
        <v>30</v>
      </c>
      <c r="B26" s="1">
        <v>10.1</v>
      </c>
      <c r="C26" s="1">
        <v>10</v>
      </c>
      <c r="D26" s="1">
        <v>8.6</v>
      </c>
      <c r="E26" s="1">
        <v>10</v>
      </c>
      <c r="F26" s="1">
        <v>10</v>
      </c>
      <c r="G26" s="1">
        <v>4.4000000000000004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44.44444444444445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13.999999999999998</v>
      </c>
      <c r="E30" s="3">
        <f t="shared" si="2"/>
        <v>0</v>
      </c>
      <c r="F30" s="3">
        <f t="shared" si="2"/>
        <v>0</v>
      </c>
      <c r="G30" s="3">
        <f t="shared" si="2"/>
        <v>11.111111111111112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86</v>
      </c>
      <c r="E31" s="3">
        <f t="shared" si="3"/>
        <v>100</v>
      </c>
      <c r="F31" s="3">
        <f t="shared" si="3"/>
        <v>100</v>
      </c>
      <c r="G31" s="3">
        <f t="shared" si="3"/>
        <v>44.44444444444445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162.13999999999999</v>
      </c>
      <c r="C33" s="3">
        <v>162.97999999999999</v>
      </c>
      <c r="D33" s="3">
        <v>69.900000000000006</v>
      </c>
      <c r="E33" s="3">
        <v>127.45</v>
      </c>
      <c r="F33" s="3">
        <v>185.61</v>
      </c>
      <c r="G33" s="3">
        <v>-73.319999999999993</v>
      </c>
    </row>
    <row r="35" spans="1:7" x14ac:dyDescent="0.25">
      <c r="A35" s="3" t="s">
        <v>36</v>
      </c>
      <c r="B35" s="3"/>
      <c r="C35" s="3"/>
      <c r="D35" s="3">
        <f>D33-C33</f>
        <v>-93.079999999999984</v>
      </c>
      <c r="E35" s="3"/>
      <c r="F35" s="3">
        <f>F33-E33</f>
        <v>58.160000000000011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57.55</v>
      </c>
      <c r="F37" s="3"/>
      <c r="G37" s="3">
        <f>G33-F33</f>
        <v>-258.93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F1D2-C57F-4712-A1DE-9B6CE9242E73}">
  <dimension ref="A1:G37"/>
  <sheetViews>
    <sheetView zoomScale="80" zoomScaleNormal="8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816.15</v>
      </c>
      <c r="C2" s="1">
        <v>823.35</v>
      </c>
      <c r="D2" s="1">
        <v>823.8</v>
      </c>
      <c r="E2" s="1">
        <v>836.94</v>
      </c>
      <c r="F2" s="1">
        <v>824.01</v>
      </c>
      <c r="G2" s="1">
        <v>805.82</v>
      </c>
    </row>
    <row r="3" spans="1:7" x14ac:dyDescent="0.25">
      <c r="A3" s="1" t="s">
        <v>7</v>
      </c>
      <c r="B3" s="1">
        <v>65.2</v>
      </c>
      <c r="C3" s="1">
        <v>71.5</v>
      </c>
      <c r="D3" s="1">
        <v>72.930000000000007</v>
      </c>
      <c r="E3" s="1">
        <v>72.900000000000006</v>
      </c>
      <c r="F3" s="1">
        <v>73.12</v>
      </c>
      <c r="G3" s="1">
        <v>69.709999999999994</v>
      </c>
    </row>
    <row r="4" spans="1:7" x14ac:dyDescent="0.25">
      <c r="A4" s="1" t="s">
        <v>8</v>
      </c>
      <c r="B4" s="1">
        <v>54131.48</v>
      </c>
      <c r="C4" s="1">
        <v>59860.88</v>
      </c>
      <c r="D4" s="1">
        <v>61111.89</v>
      </c>
      <c r="E4" s="1">
        <v>62070.18</v>
      </c>
      <c r="F4" s="1">
        <v>61287.72</v>
      </c>
      <c r="G4" s="1">
        <v>57106.81</v>
      </c>
    </row>
    <row r="5" spans="1:7" x14ac:dyDescent="0.25">
      <c r="A5" s="1" t="s">
        <v>9</v>
      </c>
      <c r="B5" s="1">
        <v>979.24</v>
      </c>
      <c r="C5" s="1">
        <v>892.09</v>
      </c>
      <c r="D5" s="1">
        <v>519.01</v>
      </c>
      <c r="E5" s="1">
        <v>218.22</v>
      </c>
      <c r="F5" s="1">
        <v>256.39999999999998</v>
      </c>
      <c r="G5" s="1">
        <v>595.16</v>
      </c>
    </row>
    <row r="6" spans="1:7" x14ac:dyDescent="0.25">
      <c r="A6" s="3" t="s">
        <v>10</v>
      </c>
      <c r="B6" s="3">
        <v>97.92</v>
      </c>
      <c r="C6" s="3">
        <v>90.11</v>
      </c>
      <c r="D6" s="3">
        <v>52.42</v>
      </c>
      <c r="E6" s="3">
        <v>22.04</v>
      </c>
      <c r="F6" s="3">
        <v>25.9</v>
      </c>
      <c r="G6" s="3">
        <v>60.73</v>
      </c>
    </row>
    <row r="7" spans="1:7" x14ac:dyDescent="0.25">
      <c r="A7" s="1" t="s">
        <v>11</v>
      </c>
      <c r="B7" s="1">
        <v>955.38</v>
      </c>
      <c r="C7" s="1">
        <v>878.39</v>
      </c>
      <c r="D7" s="1">
        <v>506.29</v>
      </c>
      <c r="E7" s="1">
        <v>209.91</v>
      </c>
      <c r="F7" s="1">
        <v>245.02</v>
      </c>
      <c r="G7" s="1">
        <v>574.11</v>
      </c>
    </row>
    <row r="8" spans="1:7" x14ac:dyDescent="0.25">
      <c r="A8" s="1" t="s">
        <v>12</v>
      </c>
      <c r="B8" s="1">
        <v>95.54</v>
      </c>
      <c r="C8" s="1">
        <v>88.73</v>
      </c>
      <c r="D8" s="1">
        <v>51.14</v>
      </c>
      <c r="E8" s="1">
        <v>21.2</v>
      </c>
      <c r="F8" s="1">
        <v>24.75</v>
      </c>
      <c r="G8" s="1">
        <v>58.58</v>
      </c>
    </row>
    <row r="9" spans="1:7" x14ac:dyDescent="0.25">
      <c r="A9" s="1" t="s">
        <v>13</v>
      </c>
      <c r="B9" s="1">
        <v>601.85</v>
      </c>
      <c r="C9" s="1">
        <v>878.39</v>
      </c>
      <c r="D9" s="1">
        <v>477.22</v>
      </c>
      <c r="E9" s="1">
        <v>127.5</v>
      </c>
      <c r="F9" s="1">
        <v>-109.99</v>
      </c>
      <c r="G9" s="1">
        <v>-396.54</v>
      </c>
    </row>
    <row r="10" spans="1:7" x14ac:dyDescent="0.25">
      <c r="A10" s="1" t="s">
        <v>14</v>
      </c>
      <c r="B10" s="1">
        <v>60.18</v>
      </c>
      <c r="C10" s="1">
        <v>88.73</v>
      </c>
      <c r="D10" s="1">
        <v>48.2</v>
      </c>
      <c r="E10" s="1">
        <v>12.88</v>
      </c>
      <c r="F10" s="1">
        <v>-11.11</v>
      </c>
      <c r="G10" s="1">
        <v>-40.46</v>
      </c>
    </row>
    <row r="11" spans="1:7" x14ac:dyDescent="0.25">
      <c r="A11" s="1" t="s">
        <v>15</v>
      </c>
      <c r="B11" s="1">
        <v>195.37</v>
      </c>
      <c r="C11" s="1">
        <v>762.63</v>
      </c>
      <c r="D11" s="1">
        <v>421.41</v>
      </c>
      <c r="E11" s="1">
        <v>115.55</v>
      </c>
      <c r="F11" s="1">
        <v>101</v>
      </c>
      <c r="G11" s="1">
        <v>272.92</v>
      </c>
    </row>
    <row r="12" spans="1:7" x14ac:dyDescent="0.25">
      <c r="A12" s="1" t="s">
        <v>16</v>
      </c>
      <c r="B12" s="1">
        <v>399.8</v>
      </c>
      <c r="C12" s="1">
        <v>382.42</v>
      </c>
      <c r="D12" s="1">
        <v>427.11</v>
      </c>
      <c r="E12" s="1">
        <v>409.64</v>
      </c>
      <c r="F12" s="1">
        <v>405.52</v>
      </c>
      <c r="G12" s="1">
        <v>377.48</v>
      </c>
    </row>
    <row r="13" spans="1:7" x14ac:dyDescent="0.25">
      <c r="A13" s="1" t="s">
        <v>17</v>
      </c>
      <c r="B13" s="1">
        <v>38.770000000000003</v>
      </c>
      <c r="C13" s="1">
        <v>43.12</v>
      </c>
      <c r="D13" s="1">
        <v>49.84</v>
      </c>
      <c r="E13" s="1">
        <v>18.64</v>
      </c>
      <c r="F13" s="1">
        <v>12.46</v>
      </c>
      <c r="G13" s="1">
        <v>85.73</v>
      </c>
    </row>
    <row r="14" spans="1:7" x14ac:dyDescent="0.25">
      <c r="A14" s="1" t="s">
        <v>18</v>
      </c>
      <c r="B14" s="1">
        <v>106.63</v>
      </c>
      <c r="C14" s="1">
        <v>115.01</v>
      </c>
      <c r="D14" s="1">
        <v>92</v>
      </c>
      <c r="E14" s="1">
        <v>44.8</v>
      </c>
      <c r="F14" s="1">
        <v>33.54</v>
      </c>
      <c r="G14" s="1">
        <v>131.49</v>
      </c>
    </row>
    <row r="15" spans="1:7" x14ac:dyDescent="0.25">
      <c r="A15" s="1" t="s">
        <v>19</v>
      </c>
      <c r="B15" s="1">
        <v>2</v>
      </c>
      <c r="C15" s="1">
        <v>3</v>
      </c>
      <c r="D15" s="1">
        <v>1</v>
      </c>
      <c r="E15" s="1">
        <v>1</v>
      </c>
      <c r="F15" s="1">
        <v>1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778.61</v>
      </c>
      <c r="C17" s="1">
        <v>878.39</v>
      </c>
      <c r="D17" s="1">
        <v>491.75</v>
      </c>
      <c r="E17" s="1">
        <v>168.71</v>
      </c>
      <c r="F17" s="1">
        <v>67.510000000000005</v>
      </c>
      <c r="G17" s="1">
        <v>88.79</v>
      </c>
    </row>
    <row r="18" spans="1:7" x14ac:dyDescent="0.25">
      <c r="A18" s="1" t="s">
        <v>22</v>
      </c>
      <c r="B18" s="1">
        <v>176.76</v>
      </c>
      <c r="C18" s="1">
        <v>0</v>
      </c>
      <c r="D18" s="1">
        <v>14.53</v>
      </c>
      <c r="E18" s="1">
        <v>41.21</v>
      </c>
      <c r="F18" s="1">
        <v>177.5</v>
      </c>
      <c r="G18" s="1">
        <v>485.33</v>
      </c>
    </row>
    <row r="19" spans="1:7" x14ac:dyDescent="0.25">
      <c r="A19" s="1" t="s">
        <v>23</v>
      </c>
      <c r="B19" s="1">
        <v>1</v>
      </c>
      <c r="C19" s="1">
        <v>0</v>
      </c>
      <c r="D19" s="1">
        <v>0</v>
      </c>
      <c r="E19" s="1">
        <v>1</v>
      </c>
      <c r="F19" s="1">
        <v>3</v>
      </c>
      <c r="G19" s="1">
        <v>2</v>
      </c>
    </row>
    <row r="20" spans="1:7" x14ac:dyDescent="0.25">
      <c r="A20" s="1" t="s">
        <v>24</v>
      </c>
      <c r="B20" s="1">
        <v>2</v>
      </c>
      <c r="C20" s="1">
        <v>0</v>
      </c>
      <c r="D20" s="1">
        <v>0</v>
      </c>
      <c r="E20" s="1">
        <v>1</v>
      </c>
      <c r="F20" s="1">
        <v>4.5999999999999996</v>
      </c>
      <c r="G20" s="1">
        <v>6.7</v>
      </c>
    </row>
    <row r="21" spans="1:7" x14ac:dyDescent="0.25">
      <c r="A21" s="1" t="s">
        <v>25</v>
      </c>
      <c r="B21" s="1">
        <v>8.1</v>
      </c>
      <c r="C21" s="1">
        <v>10</v>
      </c>
      <c r="D21" s="1">
        <v>10</v>
      </c>
      <c r="E21" s="1">
        <v>9</v>
      </c>
      <c r="F21" s="1">
        <v>5.4</v>
      </c>
      <c r="G21" s="1">
        <v>3.2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1.6</v>
      </c>
      <c r="C24" s="1">
        <v>0</v>
      </c>
      <c r="D24" s="1">
        <v>0</v>
      </c>
      <c r="E24" s="1">
        <v>0</v>
      </c>
      <c r="F24" s="1">
        <v>1.5</v>
      </c>
      <c r="G24" s="1">
        <v>3.5</v>
      </c>
    </row>
    <row r="25" spans="1:7" x14ac:dyDescent="0.25">
      <c r="A25" s="1" t="s">
        <v>29</v>
      </c>
      <c r="B25" s="1">
        <v>1.1000000000000001</v>
      </c>
      <c r="C25" s="1">
        <v>0</v>
      </c>
      <c r="D25" s="1">
        <v>2.2999999999999998</v>
      </c>
      <c r="E25" s="1">
        <v>8.1</v>
      </c>
      <c r="F25" s="1">
        <v>8.5</v>
      </c>
      <c r="G25" s="1">
        <v>6.4</v>
      </c>
    </row>
    <row r="26" spans="1:7" x14ac:dyDescent="0.25">
      <c r="A26" s="1" t="s">
        <v>30</v>
      </c>
      <c r="B26" s="1">
        <v>7.4</v>
      </c>
      <c r="C26" s="1">
        <v>10</v>
      </c>
      <c r="D26" s="1">
        <v>7.7</v>
      </c>
      <c r="E26" s="1">
        <v>1.9</v>
      </c>
      <c r="F26" s="1">
        <v>0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15.84158415841584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15</v>
      </c>
      <c r="G29" s="3">
        <f t="shared" si="1"/>
        <v>35.353535353535356</v>
      </c>
    </row>
    <row r="30" spans="1:7" x14ac:dyDescent="0.25">
      <c r="A30" s="3" t="s">
        <v>33</v>
      </c>
      <c r="B30" s="3">
        <f>B25/B28*100</f>
        <v>10.891089108910892</v>
      </c>
      <c r="C30" s="3">
        <f t="shared" ref="C30:G30" si="2">C25/C28*100</f>
        <v>0</v>
      </c>
      <c r="D30" s="3">
        <f t="shared" si="2"/>
        <v>23</v>
      </c>
      <c r="E30" s="3">
        <f t="shared" si="2"/>
        <v>81</v>
      </c>
      <c r="F30" s="3">
        <f t="shared" si="2"/>
        <v>85</v>
      </c>
      <c r="G30" s="3">
        <f t="shared" si="2"/>
        <v>64.646464646464651</v>
      </c>
    </row>
    <row r="31" spans="1:7" x14ac:dyDescent="0.25">
      <c r="A31" s="3" t="s">
        <v>34</v>
      </c>
      <c r="B31" s="3">
        <f>B26/B28*100</f>
        <v>73.267326732673268</v>
      </c>
      <c r="C31" s="3">
        <f t="shared" ref="C31:G31" si="3">C26/C28*100</f>
        <v>100</v>
      </c>
      <c r="D31" s="3">
        <f t="shared" si="3"/>
        <v>77</v>
      </c>
      <c r="E31" s="3">
        <f t="shared" si="3"/>
        <v>19</v>
      </c>
      <c r="F31" s="3">
        <f t="shared" si="3"/>
        <v>0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26.26</v>
      </c>
      <c r="C33" s="3">
        <v>90.59</v>
      </c>
      <c r="D33" s="3">
        <v>50.7</v>
      </c>
      <c r="E33" s="3">
        <v>13.93</v>
      </c>
      <c r="F33" s="3">
        <v>-10.33</v>
      </c>
      <c r="G33" s="3">
        <v>-33.6</v>
      </c>
    </row>
    <row r="35" spans="1:7" x14ac:dyDescent="0.25">
      <c r="A35" s="3" t="s">
        <v>36</v>
      </c>
      <c r="B35" s="3"/>
      <c r="C35" s="3"/>
      <c r="D35" s="3">
        <f>D33-C33</f>
        <v>-39.89</v>
      </c>
      <c r="E35" s="3"/>
      <c r="F35" s="3">
        <f>F33-E33</f>
        <v>-24.259999999999998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-36.770000000000003</v>
      </c>
      <c r="F37" s="3"/>
      <c r="G37" s="3">
        <f>G33-F33</f>
        <v>-23.270000000000003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A63D-0F4A-4F89-8DDC-AB7ED3CB352B}">
  <dimension ref="A1:G37"/>
  <sheetViews>
    <sheetView tabSelected="1" zoomScale="80" zoomScaleNormal="80" workbookViewId="0">
      <selection activeCell="Q16" sqref="Q1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240809B001.1</vt:lpstr>
      <vt:lpstr>240809B001.2</vt:lpstr>
      <vt:lpstr>240809B001.3</vt:lpstr>
      <vt:lpstr>240809B002.1</vt:lpstr>
      <vt:lpstr>240809B003.1</vt:lpstr>
      <vt:lpstr>240809B003.2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2024-09-17T20:45:38Z</dcterms:created>
  <dcterms:modified xsi:type="dcterms:W3CDTF">2024-09-17T21:54:48Z</dcterms:modified>
</cp:coreProperties>
</file>