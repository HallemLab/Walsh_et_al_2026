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7\WormLab Data\"/>
    </mc:Choice>
  </mc:AlternateContent>
  <xr:revisionPtr revIDLastSave="0" documentId="13_ncr:1_{52D2D7C8-B8BD-41D2-8ED9-4C29686F1ECD}" xr6:coauthVersionLast="47" xr6:coauthVersionMax="47" xr10:uidLastSave="{00000000-0000-0000-0000-000000000000}"/>
  <bookViews>
    <workbookView xWindow="1056" yWindow="1644" windowWidth="21036" windowHeight="11256" activeTab="5" xr2:uid="{6C6A757B-3379-4B8F-99FE-20B8AC6A153D}"/>
  </bookViews>
  <sheets>
    <sheet name="240927B001.1" sheetId="2" r:id="rId1"/>
    <sheet name="240927B001.2" sheetId="3" r:id="rId2"/>
    <sheet name="240927B001.3" sheetId="4" r:id="rId3"/>
    <sheet name="240927B002.3" sheetId="5" r:id="rId4"/>
    <sheet name="240927B003.2" sheetId="6" r:id="rId5"/>
    <sheet name="240927B003.3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28" i="7"/>
  <c r="G29" i="7" s="1"/>
  <c r="F28" i="7"/>
  <c r="F30" i="7" s="1"/>
  <c r="E28" i="7"/>
  <c r="E30" i="7" s="1"/>
  <c r="D28" i="7"/>
  <c r="D31" i="7" s="1"/>
  <c r="C28" i="7"/>
  <c r="C31" i="7" s="1"/>
  <c r="B28" i="7"/>
  <c r="B31" i="7" s="1"/>
  <c r="G37" i="6"/>
  <c r="E37" i="6"/>
  <c r="C37" i="6"/>
  <c r="F35" i="6"/>
  <c r="D35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G28" i="6"/>
  <c r="G31" i="6" s="1"/>
  <c r="F28" i="6"/>
  <c r="E28" i="6"/>
  <c r="D28" i="6"/>
  <c r="C28" i="6"/>
  <c r="B28" i="6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30" i="5" s="1"/>
  <c r="C28" i="5"/>
  <c r="C31" i="5" s="1"/>
  <c r="B28" i="5"/>
  <c r="B30" i="5" s="1"/>
  <c r="G37" i="4"/>
  <c r="E37" i="4"/>
  <c r="C37" i="4"/>
  <c r="F35" i="4"/>
  <c r="D35" i="4"/>
  <c r="G28" i="4"/>
  <c r="G31" i="4" s="1"/>
  <c r="F28" i="4"/>
  <c r="F31" i="4" s="1"/>
  <c r="E28" i="4"/>
  <c r="E31" i="4" s="1"/>
  <c r="D28" i="4"/>
  <c r="D31" i="4" s="1"/>
  <c r="C28" i="4"/>
  <c r="C29" i="4" s="1"/>
  <c r="B28" i="4"/>
  <c r="B29" i="4" s="1"/>
  <c r="G37" i="3"/>
  <c r="E37" i="3"/>
  <c r="C37" i="3"/>
  <c r="F35" i="3"/>
  <c r="D35" i="3"/>
  <c r="F31" i="3"/>
  <c r="G30" i="3"/>
  <c r="F30" i="3"/>
  <c r="E30" i="3"/>
  <c r="D30" i="3"/>
  <c r="C30" i="3"/>
  <c r="B30" i="3"/>
  <c r="G29" i="3"/>
  <c r="F29" i="3"/>
  <c r="E29" i="3"/>
  <c r="D29" i="3"/>
  <c r="G28" i="3"/>
  <c r="G31" i="3" s="1"/>
  <c r="F28" i="3"/>
  <c r="E28" i="3"/>
  <c r="E31" i="3" s="1"/>
  <c r="D28" i="3"/>
  <c r="D31" i="3" s="1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31" i="2" s="1"/>
  <c r="E28" i="2"/>
  <c r="E31" i="2" s="1"/>
  <c r="D28" i="2"/>
  <c r="D31" i="2" s="1"/>
  <c r="C28" i="2"/>
  <c r="C31" i="2" s="1"/>
  <c r="B28" i="2"/>
  <c r="B31" i="2" s="1"/>
  <c r="G37" i="1"/>
  <c r="E37" i="1"/>
  <c r="C37" i="1"/>
  <c r="F35" i="1"/>
  <c r="D35" i="1"/>
  <c r="G28" i="1"/>
  <c r="G30" i="1" s="1"/>
  <c r="F28" i="1"/>
  <c r="F30" i="1" s="1"/>
  <c r="E28" i="1"/>
  <c r="E31" i="1" s="1"/>
  <c r="D28" i="1"/>
  <c r="D29" i="1" s="1"/>
  <c r="C28" i="1"/>
  <c r="C31" i="1" s="1"/>
  <c r="B28" i="1"/>
  <c r="B29" i="1" s="1"/>
  <c r="E31" i="7" l="1"/>
  <c r="G31" i="7"/>
  <c r="C29" i="7"/>
  <c r="D29" i="7"/>
  <c r="F29" i="7"/>
  <c r="B30" i="7"/>
  <c r="G30" i="7"/>
  <c r="F31" i="7"/>
  <c r="B29" i="7"/>
  <c r="E29" i="7"/>
  <c r="C30" i="7"/>
  <c r="D30" i="7"/>
  <c r="G29" i="6"/>
  <c r="G30" i="6"/>
  <c r="G31" i="5"/>
  <c r="F29" i="4"/>
  <c r="G29" i="4"/>
  <c r="B31" i="3"/>
  <c r="B30" i="4"/>
  <c r="C31" i="3"/>
  <c r="C30" i="4"/>
  <c r="D31" i="5"/>
  <c r="D30" i="4"/>
  <c r="E31" i="5"/>
  <c r="E30" i="4"/>
  <c r="F31" i="5"/>
  <c r="D29" i="4"/>
  <c r="E29" i="4"/>
  <c r="F30" i="4"/>
  <c r="G30" i="4"/>
  <c r="B31" i="4"/>
  <c r="C31" i="4"/>
  <c r="B31" i="5"/>
  <c r="B29" i="5"/>
  <c r="C29" i="5"/>
  <c r="D29" i="5"/>
  <c r="E29" i="5"/>
  <c r="F29" i="5"/>
  <c r="G29" i="5"/>
  <c r="C30" i="5"/>
  <c r="B29" i="2"/>
  <c r="C29" i="2"/>
  <c r="E29" i="2"/>
  <c r="B30" i="2"/>
  <c r="C30" i="2"/>
  <c r="E30" i="2"/>
  <c r="D29" i="2"/>
  <c r="F29" i="2"/>
  <c r="G29" i="2"/>
  <c r="D30" i="2"/>
  <c r="F30" i="2"/>
  <c r="G30" i="2"/>
  <c r="C29" i="1"/>
  <c r="F29" i="1"/>
  <c r="G29" i="1"/>
  <c r="B30" i="1"/>
  <c r="D31" i="1"/>
  <c r="C30" i="1"/>
  <c r="G31" i="1"/>
  <c r="E29" i="1"/>
  <c r="D30" i="1"/>
  <c r="E30" i="1"/>
  <c r="F31" i="1"/>
  <c r="B31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<sst xmlns="http://schemas.openxmlformats.org/spreadsheetml/2006/main" count="266" uniqueCount="37">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</sst>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D727-9071-4973-94AB-2EE811C4ABD1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723.8</v>
      </c>
      <c r="C2" s="1">
        <v>739.57</v>
      </c>
      <c r="D2" s="1">
        <v>744.73</v>
      </c>
      <c r="E2" s="1">
        <v>753.55</v>
      </c>
      <c r="F2" s="1">
        <v>751.87</v>
      </c>
      <c r="G2" s="1">
        <v>732.69</v>
      </c>
    </row>
    <row r="3" spans="1:7" x14ac:dyDescent="0.3">
      <c r="A3" s="1" t="s">
        <v>7</v>
      </c>
      <c r="B3" s="1">
        <v>66.09</v>
      </c>
      <c r="C3" s="1">
        <v>70.59</v>
      </c>
      <c r="D3" s="1">
        <v>69.92</v>
      </c>
      <c r="E3" s="1">
        <v>68.44</v>
      </c>
      <c r="F3" s="1">
        <v>68.680000000000007</v>
      </c>
      <c r="G3" s="1">
        <v>65.91</v>
      </c>
    </row>
    <row r="4" spans="1:7" x14ac:dyDescent="0.3">
      <c r="A4" s="1" t="s">
        <v>8</v>
      </c>
      <c r="B4" s="1">
        <v>48654.28</v>
      </c>
      <c r="C4" s="1">
        <v>53094.879999999997</v>
      </c>
      <c r="D4" s="1">
        <v>52961.37</v>
      </c>
      <c r="E4" s="1">
        <v>52461.63</v>
      </c>
      <c r="F4" s="1">
        <v>52518.87</v>
      </c>
      <c r="G4" s="1">
        <v>49113.33</v>
      </c>
    </row>
    <row r="5" spans="1:7" x14ac:dyDescent="0.3">
      <c r="A5" s="1" t="s">
        <v>9</v>
      </c>
      <c r="B5" s="1">
        <v>903.33</v>
      </c>
      <c r="C5" s="1">
        <v>1273.51</v>
      </c>
      <c r="D5" s="1">
        <v>718.3</v>
      </c>
      <c r="E5" s="1">
        <v>657.34</v>
      </c>
      <c r="F5" s="1">
        <v>834.23</v>
      </c>
      <c r="G5" s="1">
        <v>1275.71</v>
      </c>
    </row>
    <row r="6" spans="1:7" x14ac:dyDescent="0.3">
      <c r="A6" s="3" t="s">
        <v>10</v>
      </c>
      <c r="B6" s="3">
        <v>90.33</v>
      </c>
      <c r="C6" s="3">
        <v>128.63999999999999</v>
      </c>
      <c r="D6" s="3">
        <v>72.56</v>
      </c>
      <c r="E6" s="3">
        <v>66.400000000000006</v>
      </c>
      <c r="F6" s="3">
        <v>84.27</v>
      </c>
      <c r="G6" s="3">
        <v>130.16999999999999</v>
      </c>
    </row>
    <row r="7" spans="1:7" x14ac:dyDescent="0.3">
      <c r="A7" s="1" t="s">
        <v>11</v>
      </c>
      <c r="B7" s="1">
        <v>898.93</v>
      </c>
      <c r="C7" s="1">
        <v>1267.3599999999999</v>
      </c>
      <c r="D7" s="1">
        <v>715.78</v>
      </c>
      <c r="E7" s="1">
        <v>652.32000000000005</v>
      </c>
      <c r="F7" s="1">
        <v>826.36</v>
      </c>
      <c r="G7" s="1">
        <v>1272.08</v>
      </c>
    </row>
    <row r="8" spans="1:7" x14ac:dyDescent="0.3">
      <c r="A8" s="1" t="s">
        <v>12</v>
      </c>
      <c r="B8" s="1">
        <v>89.89</v>
      </c>
      <c r="C8" s="1">
        <v>128.02000000000001</v>
      </c>
      <c r="D8" s="1">
        <v>72.3</v>
      </c>
      <c r="E8" s="1">
        <v>65.89</v>
      </c>
      <c r="F8" s="1">
        <v>83.47</v>
      </c>
      <c r="G8" s="1">
        <v>129.80000000000001</v>
      </c>
    </row>
    <row r="9" spans="1:7" x14ac:dyDescent="0.3">
      <c r="A9" s="1" t="s">
        <v>13</v>
      </c>
      <c r="B9" s="1">
        <v>891.24</v>
      </c>
      <c r="C9" s="1">
        <v>1267.3599999999999</v>
      </c>
      <c r="D9" s="1">
        <v>709.22</v>
      </c>
      <c r="E9" s="1">
        <v>652.32000000000005</v>
      </c>
      <c r="F9" s="1">
        <v>760.66</v>
      </c>
      <c r="G9" s="1">
        <v>1270.99</v>
      </c>
    </row>
    <row r="10" spans="1:7" x14ac:dyDescent="0.3">
      <c r="A10" s="1" t="s">
        <v>14</v>
      </c>
      <c r="B10" s="1">
        <v>89.12</v>
      </c>
      <c r="C10" s="1">
        <v>128.02000000000001</v>
      </c>
      <c r="D10" s="1">
        <v>71.64</v>
      </c>
      <c r="E10" s="1">
        <v>65.89</v>
      </c>
      <c r="F10" s="1">
        <v>76.83</v>
      </c>
      <c r="G10" s="1">
        <v>129.69</v>
      </c>
    </row>
    <row r="11" spans="1:7" x14ac:dyDescent="0.3">
      <c r="A11" s="1" t="s">
        <v>15</v>
      </c>
      <c r="B11" s="1">
        <v>775.2</v>
      </c>
      <c r="C11" s="1">
        <v>1081.67</v>
      </c>
      <c r="D11" s="1">
        <v>583.95000000000005</v>
      </c>
      <c r="E11" s="1">
        <v>605.16</v>
      </c>
      <c r="F11" s="1">
        <v>622.28</v>
      </c>
      <c r="G11" s="1">
        <v>1060.1300000000001</v>
      </c>
    </row>
    <row r="12" spans="1:7" x14ac:dyDescent="0.3">
      <c r="A12" s="1" t="s">
        <v>16</v>
      </c>
      <c r="B12" s="1">
        <v>355.58</v>
      </c>
      <c r="C12" s="1">
        <v>364.34</v>
      </c>
      <c r="D12" s="1">
        <v>363.53</v>
      </c>
      <c r="E12" s="1">
        <v>377.28</v>
      </c>
      <c r="F12" s="1">
        <v>381.91</v>
      </c>
      <c r="G12" s="1">
        <v>373.99</v>
      </c>
    </row>
    <row r="13" spans="1:7" x14ac:dyDescent="0.3">
      <c r="A13" s="1" t="s">
        <v>17</v>
      </c>
      <c r="B13" s="1">
        <v>35.54</v>
      </c>
      <c r="C13" s="1">
        <v>36.909999999999997</v>
      </c>
      <c r="D13" s="1">
        <v>31.8</v>
      </c>
      <c r="E13" s="1">
        <v>32.39</v>
      </c>
      <c r="F13" s="1">
        <v>24.21</v>
      </c>
      <c r="G13" s="1">
        <v>31.11</v>
      </c>
    </row>
    <row r="14" spans="1:7" x14ac:dyDescent="0.3">
      <c r="A14" s="1" t="s">
        <v>18</v>
      </c>
      <c r="B14" s="1">
        <v>84.7</v>
      </c>
      <c r="C14" s="1">
        <v>75.22</v>
      </c>
      <c r="D14" s="1">
        <v>62.37</v>
      </c>
      <c r="E14" s="1">
        <v>61.22</v>
      </c>
      <c r="F14" s="1">
        <v>59.62</v>
      </c>
      <c r="G14" s="1">
        <v>75.86</v>
      </c>
    </row>
    <row r="15" spans="1:7" x14ac:dyDescent="0.3">
      <c r="A15" s="1" t="s">
        <v>19</v>
      </c>
      <c r="B15" s="1">
        <v>1</v>
      </c>
      <c r="C15" s="1">
        <v>3</v>
      </c>
      <c r="D15" s="1">
        <v>1</v>
      </c>
      <c r="E15" s="1">
        <v>1</v>
      </c>
      <c r="F15" s="1">
        <v>2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895.08</v>
      </c>
      <c r="C17" s="1">
        <v>1267.3599999999999</v>
      </c>
      <c r="D17" s="1">
        <v>712.5</v>
      </c>
      <c r="E17" s="1">
        <v>652.32000000000005</v>
      </c>
      <c r="F17" s="1">
        <v>793.51</v>
      </c>
      <c r="G17" s="1">
        <v>1271.53</v>
      </c>
    </row>
    <row r="18" spans="1:7" x14ac:dyDescent="0.3">
      <c r="A18" s="1" t="s">
        <v>22</v>
      </c>
      <c r="B18" s="1">
        <v>3.84</v>
      </c>
      <c r="C18" s="1">
        <v>0</v>
      </c>
      <c r="D18" s="1">
        <v>3.28</v>
      </c>
      <c r="E18" s="1">
        <v>0</v>
      </c>
      <c r="F18" s="1">
        <v>32.85</v>
      </c>
      <c r="G18" s="1">
        <v>0.55000000000000004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1.6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8.4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0</v>
      </c>
      <c r="E30" s="3">
        <f t="shared" si="2"/>
        <v>0</v>
      </c>
      <c r="F30" s="3">
        <f t="shared" si="2"/>
        <v>16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100</v>
      </c>
      <c r="E31" s="3">
        <f t="shared" si="3"/>
        <v>100</v>
      </c>
      <c r="F31" s="3">
        <f t="shared" si="3"/>
        <v>84.000000000000014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87.95</v>
      </c>
      <c r="C33" s="3">
        <v>126.48</v>
      </c>
      <c r="D33" s="3">
        <v>72.819999999999993</v>
      </c>
      <c r="E33" s="3">
        <v>66.75</v>
      </c>
      <c r="F33" s="3">
        <v>72.67</v>
      </c>
      <c r="G33" s="3">
        <v>129.72</v>
      </c>
    </row>
    <row r="35" spans="1:7" x14ac:dyDescent="0.3">
      <c r="A35" s="3" t="s">
        <v>36</v>
      </c>
      <c r="B35" s="3"/>
      <c r="C35" s="3"/>
      <c r="D35" s="3">
        <f>D33-C33</f>
        <v>-53.660000000000011</v>
      </c>
      <c r="E35" s="3"/>
      <c r="F35" s="3">
        <f>F33-E33</f>
        <v>5.9200000000000017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-6.0699999999999932</v>
      </c>
      <c r="F37" s="3"/>
      <c r="G37" s="3">
        <f>G33-F33</f>
        <v>57.05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9A1A-1867-4DF8-B863-DE23C577D8BE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759.94</v>
      </c>
      <c r="C2" s="1">
        <v>759.87</v>
      </c>
      <c r="D2" s="1">
        <v>768.59</v>
      </c>
      <c r="E2" s="1">
        <v>757.97</v>
      </c>
      <c r="F2" s="1">
        <v>766.58</v>
      </c>
      <c r="G2" s="1">
        <v>775.47</v>
      </c>
    </row>
    <row r="3" spans="1:7" x14ac:dyDescent="0.3">
      <c r="A3" s="1" t="s">
        <v>7</v>
      </c>
      <c r="B3" s="1">
        <v>65.849999999999994</v>
      </c>
      <c r="C3" s="1">
        <v>68.41</v>
      </c>
      <c r="D3" s="1">
        <v>68.08</v>
      </c>
      <c r="E3" s="1">
        <v>69.599999999999994</v>
      </c>
      <c r="F3" s="1">
        <v>68.64</v>
      </c>
      <c r="G3" s="1">
        <v>71.42</v>
      </c>
    </row>
    <row r="4" spans="1:7" x14ac:dyDescent="0.3">
      <c r="A4" s="1" t="s">
        <v>8</v>
      </c>
      <c r="B4" s="1">
        <v>50897.279999999999</v>
      </c>
      <c r="C4" s="1">
        <v>52863.58</v>
      </c>
      <c r="D4" s="1">
        <v>53207.5</v>
      </c>
      <c r="E4" s="1">
        <v>53612.11</v>
      </c>
      <c r="F4" s="1">
        <v>53510.16</v>
      </c>
      <c r="G4" s="1">
        <v>56335.53</v>
      </c>
    </row>
    <row r="5" spans="1:7" x14ac:dyDescent="0.3">
      <c r="A5" s="1" t="s">
        <v>9</v>
      </c>
      <c r="B5" s="1">
        <v>956.04</v>
      </c>
      <c r="C5" s="1">
        <v>991.9</v>
      </c>
      <c r="D5" s="1">
        <v>488.42</v>
      </c>
      <c r="E5" s="1">
        <v>767.64</v>
      </c>
      <c r="F5" s="1">
        <v>1171.99</v>
      </c>
      <c r="G5" s="1">
        <v>1319.47</v>
      </c>
    </row>
    <row r="6" spans="1:7" x14ac:dyDescent="0.3">
      <c r="A6" s="3" t="s">
        <v>10</v>
      </c>
      <c r="B6" s="3">
        <v>95.6</v>
      </c>
      <c r="C6" s="3">
        <v>100.19</v>
      </c>
      <c r="D6" s="3">
        <v>49.34</v>
      </c>
      <c r="E6" s="3">
        <v>77.540000000000006</v>
      </c>
      <c r="F6" s="3">
        <v>118.38</v>
      </c>
      <c r="G6" s="3">
        <v>134.63999999999999</v>
      </c>
    </row>
    <row r="7" spans="1:7" x14ac:dyDescent="0.3">
      <c r="A7" s="1" t="s">
        <v>11</v>
      </c>
      <c r="B7" s="1">
        <v>944.8</v>
      </c>
      <c r="C7" s="1">
        <v>985.84</v>
      </c>
      <c r="D7" s="1">
        <v>480.43</v>
      </c>
      <c r="E7" s="1">
        <v>743.7</v>
      </c>
      <c r="F7" s="1">
        <v>1166.5</v>
      </c>
      <c r="G7" s="1">
        <v>1312.92</v>
      </c>
    </row>
    <row r="8" spans="1:7" x14ac:dyDescent="0.3">
      <c r="A8" s="1" t="s">
        <v>12</v>
      </c>
      <c r="B8" s="1">
        <v>94.48</v>
      </c>
      <c r="C8" s="1">
        <v>99.58</v>
      </c>
      <c r="D8" s="1">
        <v>48.53</v>
      </c>
      <c r="E8" s="1">
        <v>75.12</v>
      </c>
      <c r="F8" s="1">
        <v>117.83</v>
      </c>
      <c r="G8" s="1">
        <v>133.97</v>
      </c>
    </row>
    <row r="9" spans="1:7" x14ac:dyDescent="0.3">
      <c r="A9" s="1" t="s">
        <v>13</v>
      </c>
      <c r="B9" s="1">
        <v>944.8</v>
      </c>
      <c r="C9" s="1">
        <v>985.84</v>
      </c>
      <c r="D9" s="1">
        <v>434.18</v>
      </c>
      <c r="E9" s="1">
        <v>693.06</v>
      </c>
      <c r="F9" s="1">
        <v>1166.5</v>
      </c>
      <c r="G9" s="1">
        <v>1312.92</v>
      </c>
    </row>
    <row r="10" spans="1:7" x14ac:dyDescent="0.3">
      <c r="A10" s="1" t="s">
        <v>14</v>
      </c>
      <c r="B10" s="1">
        <v>94.48</v>
      </c>
      <c r="C10" s="1">
        <v>99.58</v>
      </c>
      <c r="D10" s="1">
        <v>43.86</v>
      </c>
      <c r="E10" s="1">
        <v>70.010000000000005</v>
      </c>
      <c r="F10" s="1">
        <v>117.83</v>
      </c>
      <c r="G10" s="1">
        <v>133.97</v>
      </c>
    </row>
    <row r="11" spans="1:7" x14ac:dyDescent="0.3">
      <c r="A11" s="1" t="s">
        <v>15</v>
      </c>
      <c r="B11" s="1">
        <v>760.8</v>
      </c>
      <c r="C11" s="1">
        <v>807.88</v>
      </c>
      <c r="D11" s="1">
        <v>383.16</v>
      </c>
      <c r="E11" s="1">
        <v>488.25</v>
      </c>
      <c r="F11" s="1">
        <v>942.11</v>
      </c>
      <c r="G11" s="1">
        <v>1039.0999999999999</v>
      </c>
    </row>
    <row r="12" spans="1:7" x14ac:dyDescent="0.3">
      <c r="A12" s="1" t="s">
        <v>16</v>
      </c>
      <c r="B12" s="1">
        <v>349.97</v>
      </c>
      <c r="C12" s="1">
        <v>359.02</v>
      </c>
      <c r="D12" s="1">
        <v>369.75</v>
      </c>
      <c r="E12" s="1">
        <v>352.42</v>
      </c>
      <c r="F12" s="1">
        <v>386.28</v>
      </c>
      <c r="G12" s="1">
        <v>391.9</v>
      </c>
    </row>
    <row r="13" spans="1:7" x14ac:dyDescent="0.3">
      <c r="A13" s="1" t="s">
        <v>17</v>
      </c>
      <c r="B13" s="1">
        <v>43.91</v>
      </c>
      <c r="C13" s="1">
        <v>38.270000000000003</v>
      </c>
      <c r="D13" s="1">
        <v>41.41</v>
      </c>
      <c r="E13" s="1">
        <v>50.33</v>
      </c>
      <c r="F13" s="1">
        <v>40.76</v>
      </c>
      <c r="G13" s="1">
        <v>43.48</v>
      </c>
    </row>
    <row r="14" spans="1:7" x14ac:dyDescent="0.3">
      <c r="A14" s="1" t="s">
        <v>18</v>
      </c>
      <c r="B14" s="1">
        <v>81.459999999999994</v>
      </c>
      <c r="C14" s="1">
        <v>88.57</v>
      </c>
      <c r="D14" s="1">
        <v>86.91</v>
      </c>
      <c r="E14" s="1">
        <v>111.87</v>
      </c>
      <c r="F14" s="1">
        <v>79.83</v>
      </c>
      <c r="G14" s="1">
        <v>90.33</v>
      </c>
    </row>
    <row r="15" spans="1:7" x14ac:dyDescent="0.3">
      <c r="A15" s="1" t="s">
        <v>19</v>
      </c>
      <c r="B15" s="1">
        <v>4</v>
      </c>
      <c r="C15" s="1">
        <v>2</v>
      </c>
      <c r="D15" s="1">
        <v>2</v>
      </c>
      <c r="E15" s="1">
        <v>3</v>
      </c>
      <c r="F15" s="1">
        <v>3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944.8</v>
      </c>
      <c r="C17" s="1">
        <v>985.84</v>
      </c>
      <c r="D17" s="1">
        <v>457.3</v>
      </c>
      <c r="E17" s="1">
        <v>718.38</v>
      </c>
      <c r="F17" s="1">
        <v>1166.5</v>
      </c>
      <c r="G17" s="1">
        <v>1312.92</v>
      </c>
    </row>
    <row r="18" spans="1:7" x14ac:dyDescent="0.3">
      <c r="A18" s="1" t="s">
        <v>22</v>
      </c>
      <c r="B18" s="1">
        <v>0</v>
      </c>
      <c r="C18" s="1">
        <v>0</v>
      </c>
      <c r="D18" s="1">
        <v>23.12</v>
      </c>
      <c r="E18" s="1">
        <v>25.32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3.6</v>
      </c>
      <c r="E25" s="1">
        <v>3.3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6.4</v>
      </c>
      <c r="E26" s="1">
        <v>6.7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36</v>
      </c>
      <c r="E30" s="3">
        <f t="shared" si="2"/>
        <v>32.999999999999993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64</v>
      </c>
      <c r="E31" s="3">
        <f t="shared" si="3"/>
        <v>67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94.5</v>
      </c>
      <c r="C33" s="3">
        <v>98.32</v>
      </c>
      <c r="D33" s="3">
        <v>45.87</v>
      </c>
      <c r="E33" s="3">
        <v>62.13</v>
      </c>
      <c r="F33" s="3">
        <v>117.45</v>
      </c>
      <c r="G33" s="3">
        <v>133.69</v>
      </c>
    </row>
    <row r="35" spans="1:7" x14ac:dyDescent="0.3">
      <c r="A35" s="3" t="s">
        <v>36</v>
      </c>
      <c r="B35" s="3"/>
      <c r="C35" s="3"/>
      <c r="D35" s="3">
        <f>D33-C33</f>
        <v>-52.449999999999996</v>
      </c>
      <c r="E35" s="3"/>
      <c r="F35" s="3">
        <f>F33-E33</f>
        <v>55.32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16.260000000000005</v>
      </c>
      <c r="F37" s="3"/>
      <c r="G37" s="3">
        <f>G33-F33</f>
        <v>16.239999999999995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0587-8133-4671-B47B-CFF9E5E968A9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633.09</v>
      </c>
      <c r="C2" s="1">
        <v>644.52</v>
      </c>
      <c r="D2" s="1">
        <v>648.16999999999996</v>
      </c>
      <c r="E2" s="1">
        <v>667.83</v>
      </c>
      <c r="F2" s="1">
        <v>663.73</v>
      </c>
      <c r="G2" s="1">
        <v>679.96</v>
      </c>
    </row>
    <row r="3" spans="1:7" x14ac:dyDescent="0.3">
      <c r="A3" s="1" t="s">
        <v>7</v>
      </c>
      <c r="B3" s="1">
        <v>58.05</v>
      </c>
      <c r="C3" s="1">
        <v>60.46</v>
      </c>
      <c r="D3" s="1">
        <v>60.35</v>
      </c>
      <c r="E3" s="1">
        <v>59.95</v>
      </c>
      <c r="F3" s="1">
        <v>60.55</v>
      </c>
      <c r="G3" s="1">
        <v>66.650000000000006</v>
      </c>
    </row>
    <row r="4" spans="1:7" x14ac:dyDescent="0.3">
      <c r="A4" s="1" t="s">
        <v>8</v>
      </c>
      <c r="B4" s="1">
        <v>37370.49</v>
      </c>
      <c r="C4" s="1">
        <v>39635.760000000002</v>
      </c>
      <c r="D4" s="1">
        <v>39775.25</v>
      </c>
      <c r="E4" s="1">
        <v>40719.15</v>
      </c>
      <c r="F4" s="1">
        <v>40863.75</v>
      </c>
      <c r="G4" s="1">
        <v>46102.52</v>
      </c>
    </row>
    <row r="5" spans="1:7" x14ac:dyDescent="0.3">
      <c r="A5" s="1" t="s">
        <v>9</v>
      </c>
      <c r="B5" s="1">
        <v>1783.08</v>
      </c>
      <c r="C5" s="1">
        <v>1440.49</v>
      </c>
      <c r="D5" s="1">
        <v>641.97</v>
      </c>
      <c r="E5" s="1">
        <v>1144.2</v>
      </c>
      <c r="F5" s="1">
        <v>1607.92</v>
      </c>
      <c r="G5" s="1">
        <v>1982.87</v>
      </c>
    </row>
    <row r="6" spans="1:7" x14ac:dyDescent="0.3">
      <c r="A6" s="3" t="s">
        <v>10</v>
      </c>
      <c r="B6" s="3">
        <v>178.31</v>
      </c>
      <c r="C6" s="3">
        <v>145.5</v>
      </c>
      <c r="D6" s="3">
        <v>64.849999999999994</v>
      </c>
      <c r="E6" s="3">
        <v>115.58</v>
      </c>
      <c r="F6" s="3">
        <v>162.41999999999999</v>
      </c>
      <c r="G6" s="3">
        <v>202.33</v>
      </c>
    </row>
    <row r="7" spans="1:7" x14ac:dyDescent="0.3">
      <c r="A7" s="1" t="s">
        <v>11</v>
      </c>
      <c r="B7" s="1">
        <v>1730.37</v>
      </c>
      <c r="C7" s="1">
        <v>1410.86</v>
      </c>
      <c r="D7" s="1">
        <v>625.83000000000004</v>
      </c>
      <c r="E7" s="1">
        <v>1125.5999999999999</v>
      </c>
      <c r="F7" s="1">
        <v>1575.53</v>
      </c>
      <c r="G7" s="1">
        <v>1922.19</v>
      </c>
    </row>
    <row r="8" spans="1:7" x14ac:dyDescent="0.3">
      <c r="A8" s="1" t="s">
        <v>12</v>
      </c>
      <c r="B8" s="1">
        <v>173.04</v>
      </c>
      <c r="C8" s="1">
        <v>142.51</v>
      </c>
      <c r="D8" s="1">
        <v>63.21</v>
      </c>
      <c r="E8" s="1">
        <v>113.7</v>
      </c>
      <c r="F8" s="1">
        <v>159.13999999999999</v>
      </c>
      <c r="G8" s="1">
        <v>196.14</v>
      </c>
    </row>
    <row r="9" spans="1:7" x14ac:dyDescent="0.3">
      <c r="A9" s="1" t="s">
        <v>13</v>
      </c>
      <c r="B9" s="1">
        <v>1730.37</v>
      </c>
      <c r="C9" s="1">
        <v>1410.86</v>
      </c>
      <c r="D9" s="1">
        <v>616.66</v>
      </c>
      <c r="E9" s="1">
        <v>1125.5999999999999</v>
      </c>
      <c r="F9" s="1">
        <v>1575.53</v>
      </c>
      <c r="G9" s="1">
        <v>1922.19</v>
      </c>
    </row>
    <row r="10" spans="1:7" x14ac:dyDescent="0.3">
      <c r="A10" s="1" t="s">
        <v>14</v>
      </c>
      <c r="B10" s="1">
        <v>173.04</v>
      </c>
      <c r="C10" s="1">
        <v>142.51</v>
      </c>
      <c r="D10" s="1">
        <v>62.29</v>
      </c>
      <c r="E10" s="1">
        <v>113.7</v>
      </c>
      <c r="F10" s="1">
        <v>159.13999999999999</v>
      </c>
      <c r="G10" s="1">
        <v>196.14</v>
      </c>
    </row>
    <row r="11" spans="1:7" x14ac:dyDescent="0.3">
      <c r="A11" s="1" t="s">
        <v>15</v>
      </c>
      <c r="B11" s="1">
        <v>1312.18</v>
      </c>
      <c r="C11" s="1">
        <v>1067.47</v>
      </c>
      <c r="D11" s="1">
        <v>557.94000000000005</v>
      </c>
      <c r="E11" s="1">
        <v>885.07</v>
      </c>
      <c r="F11" s="1">
        <v>1222.52</v>
      </c>
      <c r="G11" s="1">
        <v>1690.47</v>
      </c>
    </row>
    <row r="12" spans="1:7" x14ac:dyDescent="0.3">
      <c r="A12" s="1" t="s">
        <v>16</v>
      </c>
      <c r="B12" s="1">
        <v>313.77999999999997</v>
      </c>
      <c r="C12" s="1">
        <v>312.25</v>
      </c>
      <c r="D12" s="1">
        <v>339.32</v>
      </c>
      <c r="E12" s="1">
        <v>315.98</v>
      </c>
      <c r="F12" s="1">
        <v>336.64</v>
      </c>
      <c r="G12" s="1">
        <v>346.55</v>
      </c>
    </row>
    <row r="13" spans="1:7" x14ac:dyDescent="0.3">
      <c r="A13" s="1" t="s">
        <v>17</v>
      </c>
      <c r="B13" s="1">
        <v>47.28</v>
      </c>
      <c r="C13" s="1">
        <v>44.16</v>
      </c>
      <c r="D13" s="1">
        <v>31.4</v>
      </c>
      <c r="E13" s="1">
        <v>43.51</v>
      </c>
      <c r="F13" s="1">
        <v>48.78</v>
      </c>
      <c r="G13" s="1">
        <v>40.18</v>
      </c>
    </row>
    <row r="14" spans="1:7" x14ac:dyDescent="0.3">
      <c r="A14" s="1" t="s">
        <v>18</v>
      </c>
      <c r="B14" s="1">
        <v>83.28</v>
      </c>
      <c r="C14" s="1">
        <v>88</v>
      </c>
      <c r="D14" s="1">
        <v>63.7</v>
      </c>
      <c r="E14" s="1">
        <v>73.739999999999995</v>
      </c>
      <c r="F14" s="1">
        <v>87.23</v>
      </c>
      <c r="G14" s="1">
        <v>71.86</v>
      </c>
    </row>
    <row r="15" spans="1:7" x14ac:dyDescent="0.3">
      <c r="A15" s="1" t="s">
        <v>19</v>
      </c>
      <c r="B15" s="1">
        <v>7</v>
      </c>
      <c r="C15" s="1">
        <v>4</v>
      </c>
      <c r="D15" s="1">
        <v>2</v>
      </c>
      <c r="E15" s="1">
        <v>3</v>
      </c>
      <c r="F15" s="1">
        <v>4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1730.37</v>
      </c>
      <c r="C17" s="1">
        <v>1410.86</v>
      </c>
      <c r="D17" s="1">
        <v>621.25</v>
      </c>
      <c r="E17" s="1">
        <v>1125.5999999999999</v>
      </c>
      <c r="F17" s="1">
        <v>1575.53</v>
      </c>
      <c r="G17" s="1">
        <v>1922.19</v>
      </c>
    </row>
    <row r="18" spans="1:7" x14ac:dyDescent="0.3">
      <c r="A18" s="1" t="s">
        <v>22</v>
      </c>
      <c r="B18" s="1">
        <v>0</v>
      </c>
      <c r="C18" s="1">
        <v>0</v>
      </c>
      <c r="D18" s="1">
        <v>4.58</v>
      </c>
      <c r="E18" s="1">
        <v>0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171.89</v>
      </c>
      <c r="C33" s="3">
        <v>145.19</v>
      </c>
      <c r="D33" s="3">
        <v>65.260000000000005</v>
      </c>
      <c r="E33" s="3">
        <v>115.51</v>
      </c>
      <c r="F33" s="3">
        <v>160.05000000000001</v>
      </c>
      <c r="G33" s="3">
        <v>198.62</v>
      </c>
    </row>
    <row r="35" spans="1:7" x14ac:dyDescent="0.3">
      <c r="A35" s="3" t="s">
        <v>36</v>
      </c>
      <c r="B35" s="3"/>
      <c r="C35" s="3"/>
      <c r="D35" s="3">
        <f>D33-C33</f>
        <v>-79.929999999999993</v>
      </c>
      <c r="E35" s="3"/>
      <c r="F35" s="3">
        <f>F33-E33</f>
        <v>44.540000000000006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50.25</v>
      </c>
      <c r="F37" s="3"/>
      <c r="G37" s="3">
        <f>G33-F33</f>
        <v>38.569999999999993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B860-B9B7-408D-834E-0D8725A42859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674.29</v>
      </c>
      <c r="C2" s="1">
        <v>688.86</v>
      </c>
      <c r="D2" s="1">
        <v>697.99</v>
      </c>
      <c r="E2" s="1">
        <v>715.33</v>
      </c>
      <c r="F2" s="1">
        <v>704.45</v>
      </c>
      <c r="G2" s="1">
        <v>699.54</v>
      </c>
    </row>
    <row r="3" spans="1:7" x14ac:dyDescent="0.3">
      <c r="A3" s="1" t="s">
        <v>7</v>
      </c>
      <c r="B3" s="1">
        <v>56.28</v>
      </c>
      <c r="C3" s="1">
        <v>61.99</v>
      </c>
      <c r="D3" s="1">
        <v>63.61</v>
      </c>
      <c r="E3" s="1">
        <v>65.48</v>
      </c>
      <c r="F3" s="1">
        <v>62.1</v>
      </c>
      <c r="G3" s="1">
        <v>56.59</v>
      </c>
    </row>
    <row r="4" spans="1:7" x14ac:dyDescent="0.3">
      <c r="A4" s="1" t="s">
        <v>8</v>
      </c>
      <c r="B4" s="1">
        <v>38569.08</v>
      </c>
      <c r="C4" s="1">
        <v>43435.76</v>
      </c>
      <c r="D4" s="1">
        <v>45127.54</v>
      </c>
      <c r="E4" s="1">
        <v>47640.51</v>
      </c>
      <c r="F4" s="1">
        <v>44496.06</v>
      </c>
      <c r="G4" s="1">
        <v>40251.54</v>
      </c>
    </row>
    <row r="5" spans="1:7" x14ac:dyDescent="0.3">
      <c r="A5" s="1" t="s">
        <v>9</v>
      </c>
      <c r="B5" s="1">
        <v>2106.34</v>
      </c>
      <c r="C5" s="1">
        <v>1726.62</v>
      </c>
      <c r="D5" s="1">
        <v>744.5</v>
      </c>
      <c r="E5" s="1">
        <v>1352.61</v>
      </c>
      <c r="F5" s="1">
        <v>2070.9299999999998</v>
      </c>
      <c r="G5" s="1">
        <v>2075.44</v>
      </c>
    </row>
    <row r="6" spans="1:7" x14ac:dyDescent="0.3">
      <c r="A6" s="3" t="s">
        <v>10</v>
      </c>
      <c r="B6" s="3">
        <v>210.63</v>
      </c>
      <c r="C6" s="3">
        <v>174.41</v>
      </c>
      <c r="D6" s="3">
        <v>75.2</v>
      </c>
      <c r="E6" s="3">
        <v>136.63</v>
      </c>
      <c r="F6" s="3">
        <v>209.18</v>
      </c>
      <c r="G6" s="3">
        <v>211.78</v>
      </c>
    </row>
    <row r="7" spans="1:7" x14ac:dyDescent="0.3">
      <c r="A7" s="1" t="s">
        <v>11</v>
      </c>
      <c r="B7" s="1">
        <v>2058.27</v>
      </c>
      <c r="C7" s="1">
        <v>1681.63</v>
      </c>
      <c r="D7" s="1">
        <v>722.98</v>
      </c>
      <c r="E7" s="1">
        <v>1332.1</v>
      </c>
      <c r="F7" s="1">
        <v>2035.33</v>
      </c>
      <c r="G7" s="1">
        <v>2046.48</v>
      </c>
    </row>
    <row r="8" spans="1:7" x14ac:dyDescent="0.3">
      <c r="A8" s="1" t="s">
        <v>12</v>
      </c>
      <c r="B8" s="1">
        <v>205.83</v>
      </c>
      <c r="C8" s="1">
        <v>169.86</v>
      </c>
      <c r="D8" s="1">
        <v>73.03</v>
      </c>
      <c r="E8" s="1">
        <v>134.56</v>
      </c>
      <c r="F8" s="1">
        <v>205.59</v>
      </c>
      <c r="G8" s="1">
        <v>208.82</v>
      </c>
    </row>
    <row r="9" spans="1:7" x14ac:dyDescent="0.3">
      <c r="A9" s="1" t="s">
        <v>13</v>
      </c>
      <c r="B9" s="1">
        <v>2058.27</v>
      </c>
      <c r="C9" s="1">
        <v>1681.63</v>
      </c>
      <c r="D9" s="1">
        <v>722.56</v>
      </c>
      <c r="E9" s="1">
        <v>1332.1</v>
      </c>
      <c r="F9" s="1">
        <v>2035.33</v>
      </c>
      <c r="G9" s="1">
        <v>2046.48</v>
      </c>
    </row>
    <row r="10" spans="1:7" x14ac:dyDescent="0.3">
      <c r="A10" s="1" t="s">
        <v>14</v>
      </c>
      <c r="B10" s="1">
        <v>205.83</v>
      </c>
      <c r="C10" s="1">
        <v>169.86</v>
      </c>
      <c r="D10" s="1">
        <v>72.989999999999995</v>
      </c>
      <c r="E10" s="1">
        <v>134.56</v>
      </c>
      <c r="F10" s="1">
        <v>205.59</v>
      </c>
      <c r="G10" s="1">
        <v>208.82</v>
      </c>
    </row>
    <row r="11" spans="1:7" x14ac:dyDescent="0.3">
      <c r="A11" s="1" t="s">
        <v>15</v>
      </c>
      <c r="B11" s="1">
        <v>1706.69</v>
      </c>
      <c r="C11" s="1">
        <v>1392.37</v>
      </c>
      <c r="D11" s="1">
        <v>635.59</v>
      </c>
      <c r="E11" s="1">
        <v>1089.8900000000001</v>
      </c>
      <c r="F11" s="1">
        <v>1615.08</v>
      </c>
      <c r="G11" s="1">
        <v>1736</v>
      </c>
    </row>
    <row r="12" spans="1:7" x14ac:dyDescent="0.3">
      <c r="A12" s="1" t="s">
        <v>16</v>
      </c>
      <c r="B12" s="1">
        <v>354.19</v>
      </c>
      <c r="C12" s="1">
        <v>349.85</v>
      </c>
      <c r="D12" s="1">
        <v>334</v>
      </c>
      <c r="E12" s="1">
        <v>344.87</v>
      </c>
      <c r="F12" s="1">
        <v>362.96</v>
      </c>
      <c r="G12" s="1">
        <v>355.74</v>
      </c>
    </row>
    <row r="13" spans="1:7" x14ac:dyDescent="0.3">
      <c r="A13" s="1" t="s">
        <v>17</v>
      </c>
      <c r="B13" s="1">
        <v>40.450000000000003</v>
      </c>
      <c r="C13" s="1">
        <v>42.49</v>
      </c>
      <c r="D13" s="1">
        <v>42.05</v>
      </c>
      <c r="E13" s="1">
        <v>40.51</v>
      </c>
      <c r="F13" s="1">
        <v>50.48</v>
      </c>
      <c r="G13" s="1">
        <v>42.62</v>
      </c>
    </row>
    <row r="14" spans="1:7" x14ac:dyDescent="0.3">
      <c r="A14" s="1" t="s">
        <v>18</v>
      </c>
      <c r="B14" s="1">
        <v>81.540000000000006</v>
      </c>
      <c r="C14" s="1">
        <v>84.96</v>
      </c>
      <c r="D14" s="1">
        <v>63.76</v>
      </c>
      <c r="E14" s="1">
        <v>76.7</v>
      </c>
      <c r="F14" s="1">
        <v>106.37</v>
      </c>
      <c r="G14" s="1">
        <v>77.319999999999993</v>
      </c>
    </row>
    <row r="15" spans="1:7" x14ac:dyDescent="0.3">
      <c r="A15" s="1" t="s">
        <v>19</v>
      </c>
      <c r="B15" s="1">
        <v>6</v>
      </c>
      <c r="C15" s="1">
        <v>4</v>
      </c>
      <c r="D15" s="1">
        <v>2</v>
      </c>
      <c r="E15" s="1">
        <v>4</v>
      </c>
      <c r="F15" s="1">
        <v>7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2058.27</v>
      </c>
      <c r="C17" s="1">
        <v>1681.63</v>
      </c>
      <c r="D17" s="1">
        <v>722.77</v>
      </c>
      <c r="E17" s="1">
        <v>1332.1</v>
      </c>
      <c r="F17" s="1">
        <v>2035.33</v>
      </c>
      <c r="G17" s="1">
        <v>2046.48</v>
      </c>
    </row>
    <row r="18" spans="1:7" x14ac:dyDescent="0.3">
      <c r="A18" s="1" t="s">
        <v>22</v>
      </c>
      <c r="B18" s="1">
        <v>0</v>
      </c>
      <c r="C18" s="1">
        <v>0</v>
      </c>
      <c r="D18" s="1">
        <v>0.21</v>
      </c>
      <c r="E18" s="1">
        <v>0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206.2</v>
      </c>
      <c r="C33" s="3">
        <v>175.57</v>
      </c>
      <c r="D33" s="3">
        <v>74.459999999999994</v>
      </c>
      <c r="E33" s="3">
        <v>133.65</v>
      </c>
      <c r="F33" s="3">
        <v>206.19</v>
      </c>
      <c r="G33" s="3">
        <v>209.8</v>
      </c>
    </row>
    <row r="35" spans="1:7" x14ac:dyDescent="0.3">
      <c r="A35" s="3" t="s">
        <v>36</v>
      </c>
      <c r="B35" s="3"/>
      <c r="C35" s="3"/>
      <c r="D35" s="3">
        <f>D33-C33</f>
        <v>-101.11</v>
      </c>
      <c r="E35" s="3"/>
      <c r="F35" s="3">
        <f>F33-E33</f>
        <v>72.539999999999992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59.190000000000012</v>
      </c>
      <c r="F37" s="3"/>
      <c r="G37" s="3">
        <f>G33-F33</f>
        <v>3.6100000000000136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5684-D5FE-43B9-AFF7-ACA5F98110DA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703.18</v>
      </c>
      <c r="C2" s="1">
        <v>678.87</v>
      </c>
      <c r="D2" s="1">
        <v>687.86</v>
      </c>
      <c r="E2" s="1">
        <v>690.23</v>
      </c>
      <c r="F2" s="1">
        <v>684.52</v>
      </c>
      <c r="G2" s="1">
        <v>669.03</v>
      </c>
    </row>
    <row r="3" spans="1:7" x14ac:dyDescent="0.3">
      <c r="A3" s="1" t="s">
        <v>7</v>
      </c>
      <c r="B3" s="1">
        <v>63.88</v>
      </c>
      <c r="C3" s="1">
        <v>64.010000000000005</v>
      </c>
      <c r="D3" s="1">
        <v>65</v>
      </c>
      <c r="E3" s="1">
        <v>66.14</v>
      </c>
      <c r="F3" s="1">
        <v>65.63</v>
      </c>
      <c r="G3" s="1">
        <v>63.84</v>
      </c>
    </row>
    <row r="4" spans="1:7" x14ac:dyDescent="0.3">
      <c r="A4" s="1" t="s">
        <v>8</v>
      </c>
      <c r="B4" s="1">
        <v>45685.23</v>
      </c>
      <c r="C4" s="1">
        <v>44169.65</v>
      </c>
      <c r="D4" s="1">
        <v>45443.72</v>
      </c>
      <c r="E4" s="1">
        <v>46417.66</v>
      </c>
      <c r="F4" s="1">
        <v>45672.89</v>
      </c>
      <c r="G4" s="1">
        <v>43418.14</v>
      </c>
    </row>
    <row r="5" spans="1:7" x14ac:dyDescent="0.3">
      <c r="A5" s="1" t="s">
        <v>9</v>
      </c>
      <c r="B5" s="1">
        <v>1388.95</v>
      </c>
      <c r="C5" s="1">
        <v>1526.81</v>
      </c>
      <c r="D5" s="1">
        <v>675.05</v>
      </c>
      <c r="E5" s="1">
        <v>669.08</v>
      </c>
      <c r="F5" s="1">
        <v>834.9</v>
      </c>
      <c r="G5" s="1">
        <v>1314.71</v>
      </c>
    </row>
    <row r="6" spans="1:7" x14ac:dyDescent="0.3">
      <c r="A6" s="3" t="s">
        <v>10</v>
      </c>
      <c r="B6" s="3">
        <v>138.9</v>
      </c>
      <c r="C6" s="3">
        <v>154.22</v>
      </c>
      <c r="D6" s="3">
        <v>68.19</v>
      </c>
      <c r="E6" s="3">
        <v>67.58</v>
      </c>
      <c r="F6" s="3">
        <v>84.33</v>
      </c>
      <c r="G6" s="3">
        <v>134.15</v>
      </c>
    </row>
    <row r="7" spans="1:7" x14ac:dyDescent="0.3">
      <c r="A7" s="1" t="s">
        <v>11</v>
      </c>
      <c r="B7" s="1">
        <v>1347.26</v>
      </c>
      <c r="C7" s="1">
        <v>1477.47</v>
      </c>
      <c r="D7" s="1">
        <v>661.08</v>
      </c>
      <c r="E7" s="1">
        <v>652.99</v>
      </c>
      <c r="F7" s="1">
        <v>817.12</v>
      </c>
      <c r="G7" s="1">
        <v>1271.17</v>
      </c>
    </row>
    <row r="8" spans="1:7" x14ac:dyDescent="0.3">
      <c r="A8" s="1" t="s">
        <v>12</v>
      </c>
      <c r="B8" s="1">
        <v>134.72999999999999</v>
      </c>
      <c r="C8" s="1">
        <v>149.24</v>
      </c>
      <c r="D8" s="1">
        <v>66.78</v>
      </c>
      <c r="E8" s="1">
        <v>65.959999999999994</v>
      </c>
      <c r="F8" s="1">
        <v>82.54</v>
      </c>
      <c r="G8" s="1">
        <v>129.71</v>
      </c>
    </row>
    <row r="9" spans="1:7" x14ac:dyDescent="0.3">
      <c r="A9" s="1" t="s">
        <v>13</v>
      </c>
      <c r="B9" s="1">
        <v>1347.26</v>
      </c>
      <c r="C9" s="1">
        <v>1477.47</v>
      </c>
      <c r="D9" s="1">
        <v>639.61</v>
      </c>
      <c r="E9" s="1">
        <v>652.99</v>
      </c>
      <c r="F9" s="1">
        <v>817.12</v>
      </c>
      <c r="G9" s="1">
        <v>1091.53</v>
      </c>
    </row>
    <row r="10" spans="1:7" x14ac:dyDescent="0.3">
      <c r="A10" s="1" t="s">
        <v>14</v>
      </c>
      <c r="B10" s="1">
        <v>134.72999999999999</v>
      </c>
      <c r="C10" s="1">
        <v>149.24</v>
      </c>
      <c r="D10" s="1">
        <v>64.61</v>
      </c>
      <c r="E10" s="1">
        <v>65.959999999999994</v>
      </c>
      <c r="F10" s="1">
        <v>82.54</v>
      </c>
      <c r="G10" s="1">
        <v>111.38</v>
      </c>
    </row>
    <row r="11" spans="1:7" x14ac:dyDescent="0.3">
      <c r="A11" s="1" t="s">
        <v>15</v>
      </c>
      <c r="B11" s="1">
        <v>1143.44</v>
      </c>
      <c r="C11" s="1">
        <v>1267.29</v>
      </c>
      <c r="D11" s="1">
        <v>564.32000000000005</v>
      </c>
      <c r="E11" s="1">
        <v>544.80999999999995</v>
      </c>
      <c r="F11" s="1">
        <v>685.59</v>
      </c>
      <c r="G11" s="1">
        <v>738.29</v>
      </c>
    </row>
    <row r="12" spans="1:7" x14ac:dyDescent="0.3">
      <c r="A12" s="1" t="s">
        <v>16</v>
      </c>
      <c r="B12" s="1">
        <v>346.47</v>
      </c>
      <c r="C12" s="1">
        <v>334.27</v>
      </c>
      <c r="D12" s="1">
        <v>331.04</v>
      </c>
      <c r="E12" s="1">
        <v>329.38</v>
      </c>
      <c r="F12" s="1">
        <v>333.27</v>
      </c>
      <c r="G12" s="1">
        <v>341.45</v>
      </c>
    </row>
    <row r="13" spans="1:7" x14ac:dyDescent="0.3">
      <c r="A13" s="1" t="s">
        <v>17</v>
      </c>
      <c r="B13" s="1">
        <v>35.28</v>
      </c>
      <c r="C13" s="1">
        <v>38.049999999999997</v>
      </c>
      <c r="D13" s="1">
        <v>43.99</v>
      </c>
      <c r="E13" s="1">
        <v>34.42</v>
      </c>
      <c r="F13" s="1">
        <v>36.130000000000003</v>
      </c>
      <c r="G13" s="1">
        <v>50.41</v>
      </c>
    </row>
    <row r="14" spans="1:7" x14ac:dyDescent="0.3">
      <c r="A14" s="1" t="s">
        <v>18</v>
      </c>
      <c r="B14" s="1">
        <v>75.11</v>
      </c>
      <c r="C14" s="1">
        <v>70.73</v>
      </c>
      <c r="D14" s="1">
        <v>72.47</v>
      </c>
      <c r="E14" s="1">
        <v>88.39</v>
      </c>
      <c r="F14" s="1">
        <v>93.69</v>
      </c>
      <c r="G14" s="1">
        <v>107.31</v>
      </c>
    </row>
    <row r="15" spans="1:7" x14ac:dyDescent="0.3">
      <c r="A15" s="1" t="s">
        <v>19</v>
      </c>
      <c r="B15" s="1">
        <v>2</v>
      </c>
      <c r="C15" s="1">
        <v>4</v>
      </c>
      <c r="D15" s="1">
        <v>2</v>
      </c>
      <c r="E15" s="1">
        <v>2</v>
      </c>
      <c r="F15" s="1">
        <v>3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1347.26</v>
      </c>
      <c r="C17" s="1">
        <v>1477.47</v>
      </c>
      <c r="D17" s="1">
        <v>650.35</v>
      </c>
      <c r="E17" s="1">
        <v>652.99</v>
      </c>
      <c r="F17" s="1">
        <v>817.12</v>
      </c>
      <c r="G17" s="1">
        <v>1181.3499999999999</v>
      </c>
    </row>
    <row r="18" spans="1:7" x14ac:dyDescent="0.3">
      <c r="A18" s="1" t="s">
        <v>22</v>
      </c>
      <c r="B18" s="1">
        <v>0</v>
      </c>
      <c r="C18" s="1">
        <v>0</v>
      </c>
      <c r="D18" s="1">
        <v>10.74</v>
      </c>
      <c r="E18" s="1">
        <v>0</v>
      </c>
      <c r="F18" s="1">
        <v>0</v>
      </c>
      <c r="G18" s="1">
        <v>89.82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1.2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8.6999999999999993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1.1000000000000001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8.8000000000000007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11.111111111111112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88.8888888888889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136.24</v>
      </c>
      <c r="C33" s="3">
        <v>152.66999999999999</v>
      </c>
      <c r="D33" s="3">
        <v>66.95</v>
      </c>
      <c r="E33" s="3">
        <v>66.91</v>
      </c>
      <c r="F33" s="3">
        <v>84.48</v>
      </c>
      <c r="G33" s="3">
        <v>98.72</v>
      </c>
    </row>
    <row r="35" spans="1:7" x14ac:dyDescent="0.3">
      <c r="A35" s="3" t="s">
        <v>36</v>
      </c>
      <c r="B35" s="3"/>
      <c r="C35" s="3"/>
      <c r="D35" s="3">
        <f>D33-C33</f>
        <v>-85.719999999999985</v>
      </c>
      <c r="E35" s="3"/>
      <c r="F35" s="3">
        <f>F33-E33</f>
        <v>17.570000000000007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-4.0000000000006253E-2</v>
      </c>
      <c r="F37" s="3"/>
      <c r="G37" s="3">
        <f>G33-F33</f>
        <v>14.239999999999995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E58C-7980-4573-97E6-10228547C4B7}">
  <dimension ref="A1:G37"/>
  <sheetViews>
    <sheetView tabSelected="1" zoomScale="70" zoomScaleNormal="70" workbookViewId="0">
      <selection activeCell="N18" sqref="N1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710.08</v>
      </c>
      <c r="C2" s="1">
        <v>689.31</v>
      </c>
      <c r="D2" s="1">
        <v>689.86</v>
      </c>
      <c r="E2" s="1">
        <v>699.42</v>
      </c>
      <c r="F2" s="1">
        <v>685.86</v>
      </c>
      <c r="G2" s="1">
        <v>712.36</v>
      </c>
    </row>
    <row r="3" spans="1:7" x14ac:dyDescent="0.3">
      <c r="A3" s="1" t="s">
        <v>7</v>
      </c>
      <c r="B3" s="1">
        <v>58.32</v>
      </c>
      <c r="C3" s="1">
        <v>56.71</v>
      </c>
      <c r="D3" s="1">
        <v>57.04</v>
      </c>
      <c r="E3" s="1">
        <v>59.24</v>
      </c>
      <c r="F3" s="1">
        <v>57.7</v>
      </c>
      <c r="G3" s="1">
        <v>63.04</v>
      </c>
    </row>
    <row r="4" spans="1:7" x14ac:dyDescent="0.3">
      <c r="A4" s="1" t="s">
        <v>8</v>
      </c>
      <c r="B4" s="1">
        <v>42119.97</v>
      </c>
      <c r="C4" s="1">
        <v>39754.620000000003</v>
      </c>
      <c r="D4" s="1">
        <v>40015.760000000002</v>
      </c>
      <c r="E4" s="1">
        <v>42143.67</v>
      </c>
      <c r="F4" s="1">
        <v>40244.410000000003</v>
      </c>
      <c r="G4" s="1">
        <v>45671.040000000001</v>
      </c>
    </row>
    <row r="5" spans="1:7" x14ac:dyDescent="0.3">
      <c r="A5" s="1" t="s">
        <v>9</v>
      </c>
      <c r="B5" s="1">
        <v>753.57</v>
      </c>
      <c r="C5" s="1">
        <v>930.29</v>
      </c>
      <c r="D5" s="1">
        <v>325.54000000000002</v>
      </c>
      <c r="E5" s="1">
        <v>609.65</v>
      </c>
      <c r="F5" s="1">
        <v>944.71</v>
      </c>
      <c r="G5" s="1">
        <v>1123.6500000000001</v>
      </c>
    </row>
    <row r="6" spans="1:7" x14ac:dyDescent="0.3">
      <c r="A6" s="3" t="s">
        <v>10</v>
      </c>
      <c r="B6" s="3">
        <v>75.36</v>
      </c>
      <c r="C6" s="3">
        <v>93.97</v>
      </c>
      <c r="D6" s="3">
        <v>32.880000000000003</v>
      </c>
      <c r="E6" s="3">
        <v>61.58</v>
      </c>
      <c r="F6" s="3">
        <v>95.42</v>
      </c>
      <c r="G6" s="3">
        <v>114.66</v>
      </c>
    </row>
    <row r="7" spans="1:7" x14ac:dyDescent="0.3">
      <c r="A7" s="1" t="s">
        <v>11</v>
      </c>
      <c r="B7" s="1">
        <v>712.85</v>
      </c>
      <c r="C7" s="1">
        <v>894.51</v>
      </c>
      <c r="D7" s="1">
        <v>311.88</v>
      </c>
      <c r="E7" s="1">
        <v>584.28</v>
      </c>
      <c r="F7" s="1">
        <v>910.09</v>
      </c>
      <c r="G7" s="1">
        <v>1086.97</v>
      </c>
    </row>
    <row r="8" spans="1:7" x14ac:dyDescent="0.3">
      <c r="A8" s="1" t="s">
        <v>12</v>
      </c>
      <c r="B8" s="1">
        <v>71.290000000000006</v>
      </c>
      <c r="C8" s="1">
        <v>90.35</v>
      </c>
      <c r="D8" s="1">
        <v>31.5</v>
      </c>
      <c r="E8" s="1">
        <v>59.02</v>
      </c>
      <c r="F8" s="1">
        <v>91.93</v>
      </c>
      <c r="G8" s="1">
        <v>110.92</v>
      </c>
    </row>
    <row r="9" spans="1:7" x14ac:dyDescent="0.3">
      <c r="A9" s="1" t="s">
        <v>13</v>
      </c>
      <c r="B9" s="1">
        <v>712.85</v>
      </c>
      <c r="C9" s="1">
        <v>894.51</v>
      </c>
      <c r="D9" s="1">
        <v>224.04</v>
      </c>
      <c r="E9" s="1">
        <v>584.28</v>
      </c>
      <c r="F9" s="1">
        <v>910.09</v>
      </c>
      <c r="G9" s="1">
        <v>992.33</v>
      </c>
    </row>
    <row r="10" spans="1:7" x14ac:dyDescent="0.3">
      <c r="A10" s="1" t="s">
        <v>14</v>
      </c>
      <c r="B10" s="1">
        <v>71.290000000000006</v>
      </c>
      <c r="C10" s="1">
        <v>90.35</v>
      </c>
      <c r="D10" s="1">
        <v>22.63</v>
      </c>
      <c r="E10" s="1">
        <v>59.02</v>
      </c>
      <c r="F10" s="1">
        <v>91.93</v>
      </c>
      <c r="G10" s="1">
        <v>101.26</v>
      </c>
    </row>
    <row r="11" spans="1:7" x14ac:dyDescent="0.3">
      <c r="A11" s="1" t="s">
        <v>15</v>
      </c>
      <c r="B11" s="1">
        <v>610.63</v>
      </c>
      <c r="C11" s="1">
        <v>739.74</v>
      </c>
      <c r="D11" s="1">
        <v>183.13</v>
      </c>
      <c r="E11" s="1">
        <v>480.87</v>
      </c>
      <c r="F11" s="1">
        <v>726.63</v>
      </c>
      <c r="G11" s="1">
        <v>792.05</v>
      </c>
    </row>
    <row r="12" spans="1:7" x14ac:dyDescent="0.3">
      <c r="A12" s="1" t="s">
        <v>16</v>
      </c>
      <c r="B12" s="1">
        <v>359.15</v>
      </c>
      <c r="C12" s="1">
        <v>350.89</v>
      </c>
      <c r="D12" s="1">
        <v>377.97</v>
      </c>
      <c r="E12" s="1">
        <v>358.48</v>
      </c>
      <c r="F12" s="1">
        <v>368.64</v>
      </c>
      <c r="G12" s="1">
        <v>365.41</v>
      </c>
    </row>
    <row r="13" spans="1:7" x14ac:dyDescent="0.3">
      <c r="A13" s="1" t="s">
        <v>17</v>
      </c>
      <c r="B13" s="1">
        <v>38.93</v>
      </c>
      <c r="C13" s="1">
        <v>45.75</v>
      </c>
      <c r="D13" s="1">
        <v>36.770000000000003</v>
      </c>
      <c r="E13" s="1">
        <v>39.82</v>
      </c>
      <c r="F13" s="1">
        <v>48.78</v>
      </c>
      <c r="G13" s="1">
        <v>44.36</v>
      </c>
    </row>
    <row r="14" spans="1:7" x14ac:dyDescent="0.3">
      <c r="A14" s="1" t="s">
        <v>18</v>
      </c>
      <c r="B14" s="1">
        <v>69.099999999999994</v>
      </c>
      <c r="C14" s="1">
        <v>103.52</v>
      </c>
      <c r="D14" s="1">
        <v>88.01</v>
      </c>
      <c r="E14" s="1">
        <v>100.66</v>
      </c>
      <c r="F14" s="1">
        <v>112.89</v>
      </c>
      <c r="G14" s="1">
        <v>72.37</v>
      </c>
    </row>
    <row r="15" spans="1:7" x14ac:dyDescent="0.3">
      <c r="A15" s="1" t="s">
        <v>19</v>
      </c>
      <c r="B15" s="1">
        <v>3</v>
      </c>
      <c r="C15" s="1">
        <v>4</v>
      </c>
      <c r="D15" s="1">
        <v>1</v>
      </c>
      <c r="E15" s="1">
        <v>2</v>
      </c>
      <c r="F15" s="1">
        <v>4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712.85</v>
      </c>
      <c r="C17" s="1">
        <v>894.51</v>
      </c>
      <c r="D17" s="1">
        <v>267.95999999999998</v>
      </c>
      <c r="E17" s="1">
        <v>584.28</v>
      </c>
      <c r="F17" s="1">
        <v>910.09</v>
      </c>
      <c r="G17" s="1">
        <v>1039.6500000000001</v>
      </c>
    </row>
    <row r="18" spans="1:7" x14ac:dyDescent="0.3">
      <c r="A18" s="1" t="s">
        <v>22</v>
      </c>
      <c r="B18" s="1">
        <v>0</v>
      </c>
      <c r="C18" s="1">
        <v>0</v>
      </c>
      <c r="D18" s="1">
        <v>43.92</v>
      </c>
      <c r="E18" s="1">
        <v>0</v>
      </c>
      <c r="F18" s="1">
        <v>0</v>
      </c>
      <c r="G18" s="1">
        <v>47.32</v>
      </c>
    </row>
    <row r="19" spans="1:7" x14ac:dyDescent="0.3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9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5.3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4.7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53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47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75.09</v>
      </c>
      <c r="C33" s="3">
        <v>93.92</v>
      </c>
      <c r="D33" s="3">
        <v>23.53</v>
      </c>
      <c r="E33" s="3">
        <v>61.11</v>
      </c>
      <c r="F33" s="3">
        <v>95.06</v>
      </c>
      <c r="G33" s="3">
        <v>100.57</v>
      </c>
    </row>
    <row r="35" spans="1:7" x14ac:dyDescent="0.3">
      <c r="A35" s="3" t="s">
        <v>36</v>
      </c>
      <c r="B35" s="3"/>
      <c r="C35" s="3"/>
      <c r="D35" s="3">
        <f>D33-C33</f>
        <v>-70.39</v>
      </c>
      <c r="E35" s="3"/>
      <c r="F35" s="3">
        <f>F33-E33</f>
        <v>33.950000000000003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37.58</v>
      </c>
      <c r="F37" s="3"/>
      <c r="G37" s="3">
        <f>G33-F33</f>
        <v>5.5099999999999909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3145-9D73-4699-B37F-9249B90E2B35}">
  <dimension ref="A1:G37"/>
  <sheetViews>
    <sheetView zoomScale="70" zoomScaleNormal="70" workbookViewId="0">
      <selection activeCell="S21" sqref="S2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0</v>
      </c>
      <c r="C28" s="1">
        <f t="shared" si="0"/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 t="shared" ref="B29:G29" si="1">B24/B28*100</f>
        <v>#DIV/0!</v>
      </c>
      <c r="C29" s="3" t="e">
        <f t="shared" si="1"/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 t="shared" ref="B30:G30" si="2">B25/B28*100</f>
        <v>#DIV/0!</v>
      </c>
      <c r="C30" s="3" t="e">
        <f t="shared" si="2"/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 t="shared" ref="B31:G31" si="3">B26/B28*100</f>
        <v>#DIV/0!</v>
      </c>
      <c r="C31" s="3" t="e">
        <f t="shared" si="3"/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240927B001.1</vt:lpstr>
      <vt:lpstr>240927B001.2</vt:lpstr>
      <vt:lpstr>240927B001.3</vt:lpstr>
      <vt:lpstr>240927B002.3</vt:lpstr>
      <vt:lpstr>240927B003.2</vt:lpstr>
      <vt:lpstr>240927B003.3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2024-11-15T16:18:27Z</dcterms:created>
  <dcterms:modified xsi:type="dcterms:W3CDTF">2024-11-19T00:55:57Z</dcterms:modified>
</cp:coreProperties>
</file>