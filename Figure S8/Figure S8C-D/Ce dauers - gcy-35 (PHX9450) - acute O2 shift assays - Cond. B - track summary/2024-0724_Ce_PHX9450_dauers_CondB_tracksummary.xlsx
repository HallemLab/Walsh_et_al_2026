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C. elegans\Dauers\PHX9450\2024-0724\WormLab Data\"/>
    </mc:Choice>
  </mc:AlternateContent>
  <xr:revisionPtr revIDLastSave="0" documentId="13_ncr:1_{CC58CF4A-08AF-4CDE-846A-A9FFEBF29A6C}" xr6:coauthVersionLast="36" xr6:coauthVersionMax="36" xr10:uidLastSave="{00000000-0000-0000-0000-000000000000}"/>
  <bookViews>
    <workbookView xWindow="0" yWindow="0" windowWidth="24360" windowHeight="10935" firstSheet="3" activeTab="9" xr2:uid="{E0E49BC3-41FB-4AF6-8AE1-742183542CE3}"/>
  </bookViews>
  <sheets>
    <sheet name="240724B001.1" sheetId="2" r:id="rId1"/>
    <sheet name="240724B001.2" sheetId="3" r:id="rId2"/>
    <sheet name="240724B001.3" sheetId="4" r:id="rId3"/>
    <sheet name="240724B001.4" sheetId="5" r:id="rId4"/>
    <sheet name="240724B002.1" sheetId="6" r:id="rId5"/>
    <sheet name="240724B002.2" sheetId="7" r:id="rId6"/>
    <sheet name="240724B002.3" sheetId="8" r:id="rId7"/>
    <sheet name="240724B003.1" sheetId="9" r:id="rId8"/>
    <sheet name="240724B003.2" sheetId="10" r:id="rId9"/>
    <sheet name="240724B003.4" sheetId="11" r:id="rId10"/>
    <sheet name="template" sheetId="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1" l="1"/>
  <c r="E37" i="11"/>
  <c r="C37" i="11"/>
  <c r="F35" i="11"/>
  <c r="D35" i="11"/>
  <c r="B31" i="11"/>
  <c r="D30" i="11"/>
  <c r="C30" i="11"/>
  <c r="B30" i="11"/>
  <c r="G29" i="11"/>
  <c r="G28" i="11"/>
  <c r="G31" i="11" s="1"/>
  <c r="F28" i="11"/>
  <c r="F29" i="11" s="1"/>
  <c r="E28" i="11"/>
  <c r="E30" i="11" s="1"/>
  <c r="D28" i="11"/>
  <c r="D29" i="11" s="1"/>
  <c r="C28" i="11"/>
  <c r="C29" i="11" s="1"/>
  <c r="B28" i="11"/>
  <c r="B29" i="11" s="1"/>
  <c r="B31" i="10"/>
  <c r="G37" i="10"/>
  <c r="E37" i="10"/>
  <c r="C37" i="10"/>
  <c r="F35" i="10"/>
  <c r="D35" i="10"/>
  <c r="F31" i="10"/>
  <c r="C31" i="10"/>
  <c r="F30" i="10"/>
  <c r="E30" i="10"/>
  <c r="D30" i="10"/>
  <c r="C30" i="10"/>
  <c r="B30" i="10"/>
  <c r="F29" i="10"/>
  <c r="E29" i="10"/>
  <c r="D29" i="10"/>
  <c r="C29" i="10"/>
  <c r="B29" i="10"/>
  <c r="G28" i="10"/>
  <c r="G30" i="10" s="1"/>
  <c r="F28" i="10"/>
  <c r="E28" i="10"/>
  <c r="E31" i="10" s="1"/>
  <c r="D28" i="10"/>
  <c r="D31" i="10" s="1"/>
  <c r="C28" i="10"/>
  <c r="B28" i="10"/>
  <c r="B29" i="9"/>
  <c r="G37" i="9"/>
  <c r="E37" i="9"/>
  <c r="C37" i="9"/>
  <c r="F35" i="9"/>
  <c r="D35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G28" i="9"/>
  <c r="F28" i="9"/>
  <c r="E28" i="9"/>
  <c r="D28" i="9"/>
  <c r="D29" i="9" s="1"/>
  <c r="C28" i="9"/>
  <c r="C29" i="9" s="1"/>
  <c r="B28" i="9"/>
  <c r="G37" i="8"/>
  <c r="E37" i="8"/>
  <c r="C37" i="8"/>
  <c r="F35" i="8"/>
  <c r="D35" i="8"/>
  <c r="D31" i="8"/>
  <c r="C31" i="8"/>
  <c r="D30" i="8"/>
  <c r="C30" i="8"/>
  <c r="B30" i="8"/>
  <c r="G28" i="8"/>
  <c r="G31" i="8" s="1"/>
  <c r="F28" i="8"/>
  <c r="F30" i="8" s="1"/>
  <c r="E28" i="8"/>
  <c r="E31" i="8" s="1"/>
  <c r="D28" i="8"/>
  <c r="D29" i="8" s="1"/>
  <c r="C28" i="8"/>
  <c r="C29" i="8" s="1"/>
  <c r="B28" i="8"/>
  <c r="B29" i="8" s="1"/>
  <c r="G37" i="7"/>
  <c r="E37" i="7"/>
  <c r="C37" i="7"/>
  <c r="F35" i="7"/>
  <c r="D35" i="7"/>
  <c r="G28" i="7"/>
  <c r="G30" i="7" s="1"/>
  <c r="F28" i="7"/>
  <c r="F30" i="7" s="1"/>
  <c r="E28" i="7"/>
  <c r="E30" i="7" s="1"/>
  <c r="D28" i="7"/>
  <c r="D29" i="7" s="1"/>
  <c r="C28" i="7"/>
  <c r="C29" i="7" s="1"/>
  <c r="B28" i="7"/>
  <c r="B29" i="7" s="1"/>
  <c r="E29" i="11" l="1"/>
  <c r="F30" i="11"/>
  <c r="E31" i="11"/>
  <c r="F31" i="11"/>
  <c r="G30" i="11"/>
  <c r="C31" i="11"/>
  <c r="D31" i="11"/>
  <c r="G31" i="10"/>
  <c r="G29" i="10"/>
  <c r="E30" i="8"/>
  <c r="F31" i="8"/>
  <c r="E29" i="8"/>
  <c r="G29" i="8"/>
  <c r="G30" i="8"/>
  <c r="F29" i="8"/>
  <c r="B31" i="8"/>
  <c r="E29" i="7"/>
  <c r="F29" i="7"/>
  <c r="G29" i="7"/>
  <c r="B30" i="7"/>
  <c r="E31" i="7"/>
  <c r="F31" i="7"/>
  <c r="G31" i="7"/>
  <c r="C30" i="7"/>
  <c r="D30" i="7"/>
  <c r="B31" i="7"/>
  <c r="C31" i="7"/>
  <c r="D31" i="7"/>
  <c r="G37" i="6"/>
  <c r="E37" i="6"/>
  <c r="C37" i="6"/>
  <c r="F35" i="6"/>
  <c r="D35" i="6"/>
  <c r="G28" i="6"/>
  <c r="G31" i="6" s="1"/>
  <c r="F28" i="6"/>
  <c r="F31" i="6" s="1"/>
  <c r="E28" i="6"/>
  <c r="E31" i="6" s="1"/>
  <c r="D28" i="6"/>
  <c r="D29" i="6" s="1"/>
  <c r="C28" i="6"/>
  <c r="C29" i="6" s="1"/>
  <c r="B28" i="6"/>
  <c r="B29" i="6" s="1"/>
  <c r="B31" i="5"/>
  <c r="G37" i="5"/>
  <c r="E37" i="5"/>
  <c r="C37" i="5"/>
  <c r="F35" i="5"/>
  <c r="D35" i="5"/>
  <c r="E30" i="5"/>
  <c r="D30" i="5"/>
  <c r="C30" i="5"/>
  <c r="B30" i="5"/>
  <c r="E29" i="5"/>
  <c r="D29" i="5"/>
  <c r="G28" i="5"/>
  <c r="G31" i="5" s="1"/>
  <c r="F28" i="5"/>
  <c r="F31" i="5" s="1"/>
  <c r="E28" i="5"/>
  <c r="E31" i="5" s="1"/>
  <c r="D28" i="5"/>
  <c r="D31" i="5" s="1"/>
  <c r="C28" i="5"/>
  <c r="C29" i="5" s="1"/>
  <c r="B28" i="5"/>
  <c r="B29" i="5" s="1"/>
  <c r="G37" i="4"/>
  <c r="E37" i="4"/>
  <c r="C37" i="4"/>
  <c r="F35" i="4"/>
  <c r="D35" i="4"/>
  <c r="D30" i="4"/>
  <c r="C30" i="4"/>
  <c r="B30" i="4"/>
  <c r="G28" i="4"/>
  <c r="G29" i="4" s="1"/>
  <c r="F28" i="4"/>
  <c r="F30" i="4" s="1"/>
  <c r="E28" i="4"/>
  <c r="E30" i="4" s="1"/>
  <c r="D28" i="4"/>
  <c r="D29" i="4" s="1"/>
  <c r="C28" i="4"/>
  <c r="C29" i="4" s="1"/>
  <c r="B28" i="4"/>
  <c r="B29" i="4" s="1"/>
  <c r="G37" i="3"/>
  <c r="E37" i="3"/>
  <c r="C37" i="3"/>
  <c r="F35" i="3"/>
  <c r="D35" i="3"/>
  <c r="E31" i="3"/>
  <c r="C31" i="3"/>
  <c r="B31" i="3"/>
  <c r="E30" i="3"/>
  <c r="D30" i="3"/>
  <c r="C30" i="3"/>
  <c r="B30" i="3"/>
  <c r="E29" i="3"/>
  <c r="G28" i="3"/>
  <c r="G31" i="3" s="1"/>
  <c r="F28" i="3"/>
  <c r="F30" i="3" s="1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E31" i="2"/>
  <c r="D31" i="2"/>
  <c r="C31" i="2"/>
  <c r="B31" i="2"/>
  <c r="G30" i="2"/>
  <c r="E30" i="2"/>
  <c r="D30" i="2"/>
  <c r="F29" i="2"/>
  <c r="E29" i="2"/>
  <c r="G28" i="2"/>
  <c r="G29" i="2" s="1"/>
  <c r="F28" i="2"/>
  <c r="F31" i="2" s="1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D30" i="6" l="1"/>
  <c r="B30" i="6"/>
  <c r="E29" i="6"/>
  <c r="G29" i="6"/>
  <c r="C30" i="6"/>
  <c r="E30" i="6"/>
  <c r="F29" i="6"/>
  <c r="F30" i="6"/>
  <c r="G30" i="6"/>
  <c r="C31" i="6"/>
  <c r="B31" i="6"/>
  <c r="D31" i="6"/>
  <c r="G29" i="5"/>
  <c r="G30" i="5"/>
  <c r="F29" i="5"/>
  <c r="F30" i="5"/>
  <c r="C31" i="5"/>
  <c r="G30" i="4"/>
  <c r="F31" i="4"/>
  <c r="E29" i="4"/>
  <c r="G31" i="4"/>
  <c r="F29" i="4"/>
  <c r="E31" i="4"/>
  <c r="B31" i="4"/>
  <c r="C31" i="4"/>
  <c r="D31" i="4"/>
  <c r="F29" i="3"/>
  <c r="G30" i="3"/>
  <c r="G29" i="3"/>
  <c r="F31" i="3"/>
  <c r="D31" i="3"/>
  <c r="G31" i="2"/>
  <c r="F30" i="2"/>
  <c r="B30" i="2"/>
  <c r="C30" i="2"/>
</calcChain>
</file>

<file path=xl/sharedStrings.xml><?xml version="1.0" encoding="utf-8"?>
<sst xmlns="http://schemas.openxmlformats.org/spreadsheetml/2006/main" count="418" uniqueCount="37">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</sst>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A6F4E-7557-4FCB-ADE7-73825C3C8AEB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384.34</v>
      </c>
      <c r="C2" s="1">
        <v>409.49</v>
      </c>
      <c r="D2" s="1">
        <v>483.16</v>
      </c>
      <c r="E2" s="1">
        <v>478.54</v>
      </c>
      <c r="F2" s="1">
        <v>408.42</v>
      </c>
      <c r="G2" s="1">
        <v>427.08</v>
      </c>
    </row>
    <row r="3" spans="1:7" x14ac:dyDescent="0.25">
      <c r="A3" s="1" t="s">
        <v>7</v>
      </c>
      <c r="B3" s="1">
        <v>39.020000000000003</v>
      </c>
      <c r="C3" s="1">
        <v>39.549999999999997</v>
      </c>
      <c r="D3" s="1">
        <v>33.19</v>
      </c>
      <c r="E3" s="1">
        <v>32.479999999999997</v>
      </c>
      <c r="F3" s="1">
        <v>34.270000000000003</v>
      </c>
      <c r="G3" s="1">
        <v>31.65</v>
      </c>
    </row>
    <row r="4" spans="1:7" x14ac:dyDescent="0.25">
      <c r="A4" s="1" t="s">
        <v>8</v>
      </c>
      <c r="B4" s="1">
        <v>15176.45</v>
      </c>
      <c r="C4" s="1">
        <v>16052.8</v>
      </c>
      <c r="D4" s="1">
        <v>16312.18</v>
      </c>
      <c r="E4" s="1">
        <v>15809.86</v>
      </c>
      <c r="F4" s="1">
        <v>14185.07</v>
      </c>
      <c r="G4" s="1">
        <v>13749.06</v>
      </c>
    </row>
    <row r="5" spans="1:7" x14ac:dyDescent="0.25">
      <c r="A5" s="1" t="s">
        <v>9</v>
      </c>
      <c r="B5" s="1">
        <v>890.74</v>
      </c>
      <c r="C5" s="1">
        <v>431.93</v>
      </c>
      <c r="D5" s="1">
        <v>58.02</v>
      </c>
      <c r="E5" s="1">
        <v>48.1</v>
      </c>
      <c r="F5" s="1">
        <v>357.81</v>
      </c>
      <c r="G5" s="1">
        <v>111.48</v>
      </c>
    </row>
    <row r="6" spans="1:7" x14ac:dyDescent="0.25">
      <c r="A6" s="3" t="s">
        <v>10</v>
      </c>
      <c r="B6" s="3">
        <v>89.07</v>
      </c>
      <c r="C6" s="3">
        <v>43.63</v>
      </c>
      <c r="D6" s="3">
        <v>5.86</v>
      </c>
      <c r="E6" s="3">
        <v>4.8600000000000003</v>
      </c>
      <c r="F6" s="3">
        <v>36.14</v>
      </c>
      <c r="G6" s="3">
        <v>11.38</v>
      </c>
    </row>
    <row r="7" spans="1:7" x14ac:dyDescent="0.25">
      <c r="A7" s="1" t="s">
        <v>11</v>
      </c>
      <c r="B7" s="1">
        <v>830.76</v>
      </c>
      <c r="C7" s="1">
        <v>380.56</v>
      </c>
      <c r="D7" s="1">
        <v>51.17</v>
      </c>
      <c r="E7" s="1">
        <v>39.96</v>
      </c>
      <c r="F7" s="1">
        <v>346.48</v>
      </c>
      <c r="G7" s="1">
        <v>106.59</v>
      </c>
    </row>
    <row r="8" spans="1:7" x14ac:dyDescent="0.25">
      <c r="A8" s="1" t="s">
        <v>12</v>
      </c>
      <c r="B8" s="1">
        <v>83.08</v>
      </c>
      <c r="C8" s="1">
        <v>38.44</v>
      </c>
      <c r="D8" s="1">
        <v>5.17</v>
      </c>
      <c r="E8" s="1">
        <v>4.04</v>
      </c>
      <c r="F8" s="1">
        <v>35</v>
      </c>
      <c r="G8" s="1">
        <v>10.88</v>
      </c>
    </row>
    <row r="9" spans="1:7" x14ac:dyDescent="0.25">
      <c r="A9" s="1" t="s">
        <v>13</v>
      </c>
      <c r="B9" s="1">
        <v>-539.67999999999995</v>
      </c>
      <c r="C9" s="1">
        <v>295.31</v>
      </c>
      <c r="D9" s="1">
        <v>12.24</v>
      </c>
      <c r="E9" s="1">
        <v>5.77</v>
      </c>
      <c r="F9" s="1">
        <v>340.22</v>
      </c>
      <c r="G9" s="1">
        <v>12.25</v>
      </c>
    </row>
    <row r="10" spans="1:7" x14ac:dyDescent="0.25">
      <c r="A10" s="1" t="s">
        <v>14</v>
      </c>
      <c r="B10" s="1">
        <v>-53.97</v>
      </c>
      <c r="C10" s="1">
        <v>29.83</v>
      </c>
      <c r="D10" s="1">
        <v>1.24</v>
      </c>
      <c r="E10" s="1">
        <v>0.57999999999999996</v>
      </c>
      <c r="F10" s="1">
        <v>34.369999999999997</v>
      </c>
      <c r="G10" s="1">
        <v>1.25</v>
      </c>
    </row>
    <row r="11" spans="1:7" x14ac:dyDescent="0.25">
      <c r="A11" s="1" t="s">
        <v>15</v>
      </c>
      <c r="B11" s="1">
        <v>171.62</v>
      </c>
      <c r="C11" s="1">
        <v>228</v>
      </c>
      <c r="D11" s="1">
        <v>7.44</v>
      </c>
      <c r="E11" s="1">
        <v>4.71</v>
      </c>
      <c r="F11" s="1">
        <v>326.83</v>
      </c>
      <c r="G11" s="1">
        <v>1.87</v>
      </c>
    </row>
    <row r="12" spans="1:7" x14ac:dyDescent="0.25">
      <c r="A12" s="1" t="s">
        <v>16</v>
      </c>
      <c r="B12" s="1">
        <v>149.51</v>
      </c>
      <c r="C12" s="1">
        <v>188.98</v>
      </c>
      <c r="D12" s="1">
        <v>211.69</v>
      </c>
      <c r="E12" s="1">
        <v>217.61</v>
      </c>
      <c r="F12" s="1">
        <v>223.57</v>
      </c>
      <c r="G12" s="1">
        <v>256.2</v>
      </c>
    </row>
    <row r="13" spans="1:7" x14ac:dyDescent="0.25">
      <c r="A13" s="1" t="s">
        <v>17</v>
      </c>
      <c r="B13" s="1">
        <v>34.53</v>
      </c>
      <c r="C13" s="1">
        <v>35.53</v>
      </c>
      <c r="D13" s="1">
        <v>34.81</v>
      </c>
      <c r="E13" s="1">
        <v>33.11</v>
      </c>
      <c r="F13" s="1">
        <v>19.559999999999999</v>
      </c>
      <c r="G13" s="1">
        <v>27.82</v>
      </c>
    </row>
    <row r="14" spans="1:7" x14ac:dyDescent="0.25">
      <c r="A14" s="1" t="s">
        <v>18</v>
      </c>
      <c r="B14" s="1">
        <v>86.25</v>
      </c>
      <c r="C14" s="1">
        <v>67.66</v>
      </c>
      <c r="D14" s="1">
        <v>42.95</v>
      </c>
      <c r="E14" s="1">
        <v>37.51</v>
      </c>
      <c r="F14" s="1">
        <v>37.1</v>
      </c>
      <c r="G14" s="1">
        <v>31.53</v>
      </c>
    </row>
    <row r="15" spans="1:7" x14ac:dyDescent="0.25">
      <c r="A15" s="1" t="s">
        <v>19</v>
      </c>
      <c r="B15" s="1">
        <v>6</v>
      </c>
      <c r="C15" s="1">
        <v>1</v>
      </c>
      <c r="D15" s="1">
        <v>1</v>
      </c>
      <c r="E15" s="1">
        <v>1</v>
      </c>
      <c r="F15" s="1">
        <v>3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145.54</v>
      </c>
      <c r="C17" s="1">
        <v>337.93</v>
      </c>
      <c r="D17" s="1">
        <v>31.7</v>
      </c>
      <c r="E17" s="1">
        <v>22.87</v>
      </c>
      <c r="F17" s="1">
        <v>343.35</v>
      </c>
      <c r="G17" s="1">
        <v>59.42</v>
      </c>
    </row>
    <row r="18" spans="1:7" x14ac:dyDescent="0.25">
      <c r="A18" s="1" t="s">
        <v>22</v>
      </c>
      <c r="B18" s="1">
        <v>685.22</v>
      </c>
      <c r="C18" s="1">
        <v>42.62</v>
      </c>
      <c r="D18" s="1">
        <v>19.47</v>
      </c>
      <c r="E18" s="1">
        <v>17.100000000000001</v>
      </c>
      <c r="F18" s="1">
        <v>3.13</v>
      </c>
      <c r="G18" s="1">
        <v>47.17</v>
      </c>
    </row>
    <row r="19" spans="1:7" x14ac:dyDescent="0.25">
      <c r="A19" s="1" t="s">
        <v>23</v>
      </c>
      <c r="B19" s="1">
        <v>1</v>
      </c>
      <c r="C19" s="1">
        <v>1</v>
      </c>
      <c r="D19" s="1">
        <v>0</v>
      </c>
      <c r="E19" s="1">
        <v>1</v>
      </c>
      <c r="F19" s="1">
        <v>1</v>
      </c>
      <c r="G19" s="1">
        <v>2</v>
      </c>
    </row>
    <row r="20" spans="1:7" x14ac:dyDescent="0.25">
      <c r="A20" s="1" t="s">
        <v>24</v>
      </c>
      <c r="B20" s="1">
        <v>3.9</v>
      </c>
      <c r="C20" s="1">
        <v>1.6</v>
      </c>
      <c r="D20" s="1">
        <v>0</v>
      </c>
      <c r="E20" s="1">
        <v>1</v>
      </c>
      <c r="F20" s="1">
        <v>1.3</v>
      </c>
      <c r="G20" s="1">
        <v>2.4</v>
      </c>
    </row>
    <row r="21" spans="1:7" x14ac:dyDescent="0.25">
      <c r="A21" s="1" t="s">
        <v>25</v>
      </c>
      <c r="B21" s="1">
        <v>6.2</v>
      </c>
      <c r="C21" s="1">
        <v>8.4</v>
      </c>
      <c r="D21" s="1">
        <v>10</v>
      </c>
      <c r="E21" s="1">
        <v>9</v>
      </c>
      <c r="F21" s="1">
        <v>8.6999999999999993</v>
      </c>
      <c r="G21" s="1">
        <v>7.5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3.7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4.8</v>
      </c>
      <c r="C25" s="1">
        <v>5</v>
      </c>
      <c r="D25" s="1">
        <v>10</v>
      </c>
      <c r="E25" s="1">
        <v>10</v>
      </c>
      <c r="F25" s="1">
        <v>7.3</v>
      </c>
      <c r="G25" s="1">
        <v>9.9</v>
      </c>
    </row>
    <row r="26" spans="1:7" x14ac:dyDescent="0.25">
      <c r="A26" s="1" t="s">
        <v>30</v>
      </c>
      <c r="B26" s="1">
        <v>1.6</v>
      </c>
      <c r="C26" s="1">
        <v>5</v>
      </c>
      <c r="D26" s="1">
        <v>0</v>
      </c>
      <c r="E26" s="1">
        <v>0</v>
      </c>
      <c r="F26" s="1">
        <v>2.7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36.633663366336641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47.524752475247524</v>
      </c>
      <c r="C30" s="3">
        <f t="shared" ref="C30:G30" si="2">C25/C28*100</f>
        <v>50</v>
      </c>
      <c r="D30" s="3">
        <f t="shared" si="2"/>
        <v>100</v>
      </c>
      <c r="E30" s="3">
        <f t="shared" si="2"/>
        <v>100</v>
      </c>
      <c r="F30" s="3">
        <f t="shared" si="2"/>
        <v>73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15.841584158415841</v>
      </c>
      <c r="C31" s="3">
        <f t="shared" ref="C31:G31" si="3">C26/C28*100</f>
        <v>50</v>
      </c>
      <c r="D31" s="3">
        <f t="shared" si="3"/>
        <v>0</v>
      </c>
      <c r="E31" s="3">
        <f t="shared" si="3"/>
        <v>0</v>
      </c>
      <c r="F31" s="3">
        <f t="shared" si="3"/>
        <v>27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-30.92</v>
      </c>
      <c r="C33" s="3">
        <v>29.16</v>
      </c>
      <c r="D33" s="3">
        <v>0.75</v>
      </c>
      <c r="E33" s="3">
        <v>0.25</v>
      </c>
      <c r="F33" s="3">
        <v>34.28</v>
      </c>
      <c r="G33" s="3">
        <v>-0.13</v>
      </c>
    </row>
    <row r="35" spans="1:7" x14ac:dyDescent="0.25">
      <c r="A35" s="3" t="s">
        <v>36</v>
      </c>
      <c r="B35" s="3"/>
      <c r="C35" s="3"/>
      <c r="D35" s="3">
        <f>D33-C33</f>
        <v>-28.41</v>
      </c>
      <c r="E35" s="3"/>
      <c r="F35" s="3">
        <f>F33-E33</f>
        <v>34.03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-0.5</v>
      </c>
      <c r="F37" s="3"/>
      <c r="G37" s="3">
        <f>G33-F33</f>
        <v>-34.410000000000004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253B-00F1-4ADE-B3B8-0868149CDF9F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511.19</v>
      </c>
      <c r="C2" s="1">
        <v>455.55</v>
      </c>
      <c r="D2" s="1">
        <v>444.24</v>
      </c>
      <c r="E2" s="1">
        <v>455.65</v>
      </c>
      <c r="F2" s="1">
        <v>449.57</v>
      </c>
      <c r="G2" s="1">
        <v>488.06</v>
      </c>
    </row>
    <row r="3" spans="1:7" x14ac:dyDescent="0.25">
      <c r="A3" s="1" t="s">
        <v>7</v>
      </c>
      <c r="B3" s="1">
        <v>43</v>
      </c>
      <c r="C3" s="1">
        <v>45.14</v>
      </c>
      <c r="D3" s="1">
        <v>44.99</v>
      </c>
      <c r="E3" s="1">
        <v>44.56</v>
      </c>
      <c r="F3" s="1">
        <v>44.62</v>
      </c>
      <c r="G3" s="1">
        <v>41.16</v>
      </c>
    </row>
    <row r="4" spans="1:7" x14ac:dyDescent="0.25">
      <c r="A4" s="1" t="s">
        <v>8</v>
      </c>
      <c r="B4" s="1">
        <v>22360.91</v>
      </c>
      <c r="C4" s="1">
        <v>20904.05</v>
      </c>
      <c r="D4" s="1">
        <v>20330.59</v>
      </c>
      <c r="E4" s="1">
        <v>20650.060000000001</v>
      </c>
      <c r="F4" s="1">
        <v>20393.96</v>
      </c>
      <c r="G4" s="1">
        <v>20434.55</v>
      </c>
    </row>
    <row r="5" spans="1:7" x14ac:dyDescent="0.25">
      <c r="A5" s="1" t="s">
        <v>9</v>
      </c>
      <c r="B5" s="1">
        <v>68.87</v>
      </c>
      <c r="C5" s="1">
        <v>66.48</v>
      </c>
      <c r="D5" s="1">
        <v>66.989999999999995</v>
      </c>
      <c r="E5" s="1">
        <v>86.46</v>
      </c>
      <c r="F5" s="1">
        <v>273.27999999999997</v>
      </c>
      <c r="G5" s="1">
        <v>43.95</v>
      </c>
    </row>
    <row r="6" spans="1:7" x14ac:dyDescent="0.25">
      <c r="A6" s="3" t="s">
        <v>10</v>
      </c>
      <c r="B6" s="3">
        <v>6.89</v>
      </c>
      <c r="C6" s="3">
        <v>6.72</v>
      </c>
      <c r="D6" s="3">
        <v>6.77</v>
      </c>
      <c r="E6" s="3">
        <v>8.73</v>
      </c>
      <c r="F6" s="3">
        <v>27.6</v>
      </c>
      <c r="G6" s="3">
        <v>4.49</v>
      </c>
    </row>
    <row r="7" spans="1:7" x14ac:dyDescent="0.25">
      <c r="A7" s="1" t="s">
        <v>11</v>
      </c>
      <c r="B7" s="1">
        <v>66.099999999999994</v>
      </c>
      <c r="C7" s="1">
        <v>62.58</v>
      </c>
      <c r="D7" s="1">
        <v>65.25</v>
      </c>
      <c r="E7" s="1">
        <v>82.85</v>
      </c>
      <c r="F7" s="1">
        <v>256.18</v>
      </c>
      <c r="G7" s="1">
        <v>38.67</v>
      </c>
    </row>
    <row r="8" spans="1:7" x14ac:dyDescent="0.25">
      <c r="A8" s="1" t="s">
        <v>12</v>
      </c>
      <c r="B8" s="1">
        <v>6.61</v>
      </c>
      <c r="C8" s="1">
        <v>6.32</v>
      </c>
      <c r="D8" s="1">
        <v>6.59</v>
      </c>
      <c r="E8" s="1">
        <v>8.3699999999999992</v>
      </c>
      <c r="F8" s="1">
        <v>25.88</v>
      </c>
      <c r="G8" s="1">
        <v>3.95</v>
      </c>
    </row>
    <row r="9" spans="1:7" x14ac:dyDescent="0.25">
      <c r="A9" s="1" t="s">
        <v>13</v>
      </c>
      <c r="B9" s="1">
        <v>-6.26</v>
      </c>
      <c r="C9" s="1">
        <v>17.12</v>
      </c>
      <c r="D9" s="1">
        <v>-5.99</v>
      </c>
      <c r="E9" s="1">
        <v>-45.45</v>
      </c>
      <c r="F9" s="1">
        <v>197.61</v>
      </c>
      <c r="G9" s="1">
        <v>-5.49</v>
      </c>
    </row>
    <row r="10" spans="1:7" x14ac:dyDescent="0.25">
      <c r="A10" s="1" t="s">
        <v>14</v>
      </c>
      <c r="B10" s="1">
        <v>-0.63</v>
      </c>
      <c r="C10" s="1">
        <v>1.73</v>
      </c>
      <c r="D10" s="1">
        <v>-0.6</v>
      </c>
      <c r="E10" s="1">
        <v>-4.59</v>
      </c>
      <c r="F10" s="1">
        <v>19.96</v>
      </c>
      <c r="G10" s="1">
        <v>-0.56000000000000005</v>
      </c>
    </row>
    <row r="11" spans="1:7" x14ac:dyDescent="0.25">
      <c r="A11" s="1" t="s">
        <v>15</v>
      </c>
      <c r="B11" s="1">
        <v>1.08</v>
      </c>
      <c r="C11" s="1">
        <v>13.21</v>
      </c>
      <c r="D11" s="1">
        <v>1.02</v>
      </c>
      <c r="E11" s="1">
        <v>42.9</v>
      </c>
      <c r="F11" s="1">
        <v>197.03</v>
      </c>
      <c r="G11" s="1">
        <v>5.33</v>
      </c>
    </row>
    <row r="12" spans="1:7" x14ac:dyDescent="0.25">
      <c r="A12" s="1" t="s">
        <v>16</v>
      </c>
      <c r="B12" s="1">
        <v>292.82</v>
      </c>
      <c r="C12" s="1">
        <v>249.86</v>
      </c>
      <c r="D12" s="1">
        <v>282.69</v>
      </c>
      <c r="E12" s="1">
        <v>290.07</v>
      </c>
      <c r="F12" s="1">
        <v>239.43</v>
      </c>
      <c r="G12" s="1">
        <v>259.63</v>
      </c>
    </row>
    <row r="13" spans="1:7" x14ac:dyDescent="0.25">
      <c r="A13" s="1" t="s">
        <v>17</v>
      </c>
      <c r="B13" s="1">
        <v>7.56</v>
      </c>
      <c r="C13" s="1">
        <v>8.31</v>
      </c>
      <c r="D13" s="1">
        <v>9.51</v>
      </c>
      <c r="E13" s="1">
        <v>6.97</v>
      </c>
      <c r="F13" s="1">
        <v>19.03</v>
      </c>
      <c r="G13" s="1">
        <v>11.13</v>
      </c>
    </row>
    <row r="14" spans="1:7" x14ac:dyDescent="0.25">
      <c r="A14" s="1" t="s">
        <v>18</v>
      </c>
      <c r="B14" s="1">
        <v>9.99</v>
      </c>
      <c r="C14" s="1">
        <v>10.92</v>
      </c>
      <c r="D14" s="1">
        <v>11.74</v>
      </c>
      <c r="E14" s="1">
        <v>11.14</v>
      </c>
      <c r="F14" s="1">
        <v>83.28</v>
      </c>
      <c r="G14" s="1">
        <v>13.45</v>
      </c>
    </row>
    <row r="15" spans="1:7" x14ac:dyDescent="0.25">
      <c r="A15" s="1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29.92</v>
      </c>
      <c r="C17" s="1">
        <v>39.85</v>
      </c>
      <c r="D17" s="1">
        <v>29.63</v>
      </c>
      <c r="E17" s="1">
        <v>18.7</v>
      </c>
      <c r="F17" s="1">
        <v>226.9</v>
      </c>
      <c r="G17" s="1">
        <v>16.59</v>
      </c>
    </row>
    <row r="18" spans="1:7" x14ac:dyDescent="0.25">
      <c r="A18" s="1" t="s">
        <v>22</v>
      </c>
      <c r="B18" s="1">
        <v>36.18</v>
      </c>
      <c r="C18" s="1">
        <v>22.73</v>
      </c>
      <c r="D18" s="1">
        <v>35.619999999999997</v>
      </c>
      <c r="E18" s="1">
        <v>64.150000000000006</v>
      </c>
      <c r="F18" s="1">
        <v>29.28</v>
      </c>
      <c r="G18" s="1">
        <v>22.08</v>
      </c>
    </row>
    <row r="19" spans="1:7" x14ac:dyDescent="0.25">
      <c r="A19" s="1" t="s">
        <v>23</v>
      </c>
      <c r="B19" s="1">
        <v>3</v>
      </c>
      <c r="C19" s="1">
        <v>2</v>
      </c>
      <c r="D19" s="1">
        <v>2</v>
      </c>
      <c r="E19" s="1">
        <v>3</v>
      </c>
      <c r="F19" s="1">
        <v>0</v>
      </c>
      <c r="G19" s="1">
        <v>1</v>
      </c>
    </row>
    <row r="20" spans="1:7" x14ac:dyDescent="0.25">
      <c r="A20" s="1" t="s">
        <v>24</v>
      </c>
      <c r="B20" s="1">
        <v>4.2</v>
      </c>
      <c r="C20" s="1">
        <v>2.9</v>
      </c>
      <c r="D20" s="1">
        <v>2.7</v>
      </c>
      <c r="E20" s="1">
        <v>5.9</v>
      </c>
      <c r="F20" s="1">
        <v>0</v>
      </c>
      <c r="G20" s="1">
        <v>1.2</v>
      </c>
    </row>
    <row r="21" spans="1:7" x14ac:dyDescent="0.25">
      <c r="A21" s="1" t="s">
        <v>25</v>
      </c>
      <c r="B21" s="1">
        <v>5.9</v>
      </c>
      <c r="C21" s="1">
        <v>7.1</v>
      </c>
      <c r="D21" s="1">
        <v>7.3</v>
      </c>
      <c r="E21" s="1">
        <v>4.0999999999999996</v>
      </c>
      <c r="F21" s="1">
        <v>10</v>
      </c>
      <c r="G21" s="1">
        <v>8.6999999999999993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8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2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80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20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0</v>
      </c>
      <c r="C33" s="3">
        <v>1.19</v>
      </c>
      <c r="D33" s="3">
        <v>-0.1</v>
      </c>
      <c r="E33" s="3">
        <v>-4.41</v>
      </c>
      <c r="F33" s="3">
        <v>18.72</v>
      </c>
      <c r="G33" s="3">
        <v>-0.53</v>
      </c>
    </row>
    <row r="35" spans="1:7" x14ac:dyDescent="0.25">
      <c r="A35" s="3" t="s">
        <v>36</v>
      </c>
      <c r="B35" s="3"/>
      <c r="C35" s="3"/>
      <c r="D35" s="3">
        <f>D33-C33</f>
        <v>-1.29</v>
      </c>
      <c r="E35" s="3"/>
      <c r="F35" s="3">
        <f>F33-E33</f>
        <v>23.13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-4.3100000000000005</v>
      </c>
      <c r="F37" s="3"/>
      <c r="G37" s="3">
        <f>G33-F33</f>
        <v>-19.25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0864-72D5-400E-BFE2-4E3FD39B477E}">
  <dimension ref="A1:G37"/>
  <sheetViews>
    <sheetView zoomScale="80" zoomScaleNormal="80" workbookViewId="0">
      <selection activeCell="C41" sqref="C4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479.9</v>
      </c>
      <c r="C2" s="1">
        <v>484.24</v>
      </c>
      <c r="D2" s="1">
        <v>510.48</v>
      </c>
      <c r="E2" s="1">
        <v>521.79999999999995</v>
      </c>
      <c r="F2" s="1">
        <v>483.17</v>
      </c>
      <c r="G2" s="1">
        <v>467.31</v>
      </c>
    </row>
    <row r="3" spans="1:7" x14ac:dyDescent="0.25">
      <c r="A3" s="1" t="s">
        <v>7</v>
      </c>
      <c r="B3" s="1">
        <v>47.88</v>
      </c>
      <c r="C3" s="1">
        <v>47.82</v>
      </c>
      <c r="D3" s="1">
        <v>46.93</v>
      </c>
      <c r="E3" s="1">
        <v>46.1</v>
      </c>
      <c r="F3" s="1">
        <v>47.51</v>
      </c>
      <c r="G3" s="1">
        <v>49.96</v>
      </c>
    </row>
    <row r="4" spans="1:7" x14ac:dyDescent="0.25">
      <c r="A4" s="1" t="s">
        <v>8</v>
      </c>
      <c r="B4" s="1">
        <v>23373.69</v>
      </c>
      <c r="C4" s="1">
        <v>23553.54</v>
      </c>
      <c r="D4" s="1">
        <v>24358.18</v>
      </c>
      <c r="E4" s="1">
        <v>24470.52</v>
      </c>
      <c r="F4" s="1">
        <v>23294.38</v>
      </c>
      <c r="G4" s="1">
        <v>23692.22</v>
      </c>
    </row>
    <row r="5" spans="1:7" x14ac:dyDescent="0.25">
      <c r="A5" s="1" t="s">
        <v>9</v>
      </c>
      <c r="B5" s="1">
        <v>60.27</v>
      </c>
      <c r="C5" s="1">
        <v>41.84</v>
      </c>
      <c r="D5" s="1">
        <v>126.84</v>
      </c>
      <c r="E5" s="1">
        <v>89.56</v>
      </c>
      <c r="F5" s="1">
        <v>621.28</v>
      </c>
      <c r="G5" s="1">
        <v>2174.9699999999998</v>
      </c>
    </row>
    <row r="6" spans="1:7" x14ac:dyDescent="0.25">
      <c r="A6" s="3" t="s">
        <v>10</v>
      </c>
      <c r="B6" s="3">
        <v>6.03</v>
      </c>
      <c r="C6" s="3">
        <v>4.2300000000000004</v>
      </c>
      <c r="D6" s="3">
        <v>12.81</v>
      </c>
      <c r="E6" s="3">
        <v>9.0500000000000007</v>
      </c>
      <c r="F6" s="3">
        <v>62.76</v>
      </c>
      <c r="G6" s="3">
        <v>221.94</v>
      </c>
    </row>
    <row r="7" spans="1:7" x14ac:dyDescent="0.25">
      <c r="A7" s="1" t="s">
        <v>11</v>
      </c>
      <c r="B7" s="1">
        <v>51.85</v>
      </c>
      <c r="C7" s="1">
        <v>29.17</v>
      </c>
      <c r="D7" s="1">
        <v>117.71</v>
      </c>
      <c r="E7" s="1">
        <v>80.430000000000007</v>
      </c>
      <c r="F7" s="1">
        <v>597.75</v>
      </c>
      <c r="G7" s="1">
        <v>2026.09</v>
      </c>
    </row>
    <row r="8" spans="1:7" x14ac:dyDescent="0.25">
      <c r="A8" s="1" t="s">
        <v>12</v>
      </c>
      <c r="B8" s="1">
        <v>5.19</v>
      </c>
      <c r="C8" s="1">
        <v>2.95</v>
      </c>
      <c r="D8" s="1">
        <v>11.89</v>
      </c>
      <c r="E8" s="1">
        <v>8.1199999999999992</v>
      </c>
      <c r="F8" s="1">
        <v>60.38</v>
      </c>
      <c r="G8" s="1">
        <v>206.74</v>
      </c>
    </row>
    <row r="9" spans="1:7" x14ac:dyDescent="0.25">
      <c r="A9" s="1" t="s">
        <v>13</v>
      </c>
      <c r="B9" s="1">
        <v>-9.59</v>
      </c>
      <c r="C9" s="1">
        <v>2.67</v>
      </c>
      <c r="D9" s="1">
        <v>-81.39</v>
      </c>
      <c r="E9" s="1">
        <v>8.5399999999999991</v>
      </c>
      <c r="F9" s="1">
        <v>575.83000000000004</v>
      </c>
      <c r="G9" s="1">
        <v>2026.09</v>
      </c>
    </row>
    <row r="10" spans="1:7" x14ac:dyDescent="0.25">
      <c r="A10" s="1" t="s">
        <v>14</v>
      </c>
      <c r="B10" s="1">
        <v>-0.96</v>
      </c>
      <c r="C10" s="1">
        <v>0.27</v>
      </c>
      <c r="D10" s="1">
        <v>-8.2200000000000006</v>
      </c>
      <c r="E10" s="1">
        <v>0.86</v>
      </c>
      <c r="F10" s="1">
        <v>58.16</v>
      </c>
      <c r="G10" s="1">
        <v>206.74</v>
      </c>
    </row>
    <row r="11" spans="1:7" x14ac:dyDescent="0.25">
      <c r="A11" s="1" t="s">
        <v>15</v>
      </c>
      <c r="B11" s="1">
        <v>4.78</v>
      </c>
      <c r="C11" s="1">
        <v>2.3199999999999998</v>
      </c>
      <c r="D11" s="1">
        <v>75.08</v>
      </c>
      <c r="E11" s="1">
        <v>1.1299999999999999</v>
      </c>
      <c r="F11" s="1">
        <v>513.04</v>
      </c>
      <c r="G11" s="1">
        <v>1661.01</v>
      </c>
    </row>
    <row r="12" spans="1:7" x14ac:dyDescent="0.25">
      <c r="A12" s="1" t="s">
        <v>16</v>
      </c>
      <c r="B12" s="1">
        <v>296.68</v>
      </c>
      <c r="C12" s="1">
        <v>322.10000000000002</v>
      </c>
      <c r="D12" s="1">
        <v>296.77999999999997</v>
      </c>
      <c r="E12" s="1">
        <v>296.14999999999998</v>
      </c>
      <c r="F12" s="1">
        <v>287.44</v>
      </c>
      <c r="G12" s="1">
        <v>281.56</v>
      </c>
    </row>
    <row r="13" spans="1:7" x14ac:dyDescent="0.25">
      <c r="A13" s="1" t="s">
        <v>17</v>
      </c>
      <c r="B13" s="1">
        <v>12.44</v>
      </c>
      <c r="C13" s="1">
        <v>13.65</v>
      </c>
      <c r="D13" s="1">
        <v>58.64</v>
      </c>
      <c r="E13" s="1">
        <v>72.430000000000007</v>
      </c>
      <c r="F13" s="1">
        <v>44.86</v>
      </c>
      <c r="G13" s="1">
        <v>31.15</v>
      </c>
    </row>
    <row r="14" spans="1:7" x14ac:dyDescent="0.25">
      <c r="A14" s="1" t="s">
        <v>18</v>
      </c>
      <c r="B14" s="1">
        <v>15.96</v>
      </c>
      <c r="C14" s="1">
        <v>15.05</v>
      </c>
      <c r="D14" s="1">
        <v>76.900000000000006</v>
      </c>
      <c r="E14" s="1">
        <v>76.62</v>
      </c>
      <c r="F14" s="1">
        <v>76.430000000000007</v>
      </c>
      <c r="G14" s="1">
        <v>74.87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2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21.13</v>
      </c>
      <c r="C17" s="1">
        <v>15.92</v>
      </c>
      <c r="D17" s="1">
        <v>18.16</v>
      </c>
      <c r="E17" s="1">
        <v>44.49</v>
      </c>
      <c r="F17" s="1">
        <v>586.79</v>
      </c>
      <c r="G17" s="1">
        <v>2026.09</v>
      </c>
    </row>
    <row r="18" spans="1:7" x14ac:dyDescent="0.25">
      <c r="A18" s="1" t="s">
        <v>22</v>
      </c>
      <c r="B18" s="1">
        <v>30.72</v>
      </c>
      <c r="C18" s="1">
        <v>13.25</v>
      </c>
      <c r="D18" s="1">
        <v>99.55</v>
      </c>
      <c r="E18" s="1">
        <v>35.950000000000003</v>
      </c>
      <c r="F18" s="1">
        <v>10.96</v>
      </c>
      <c r="G18" s="1">
        <v>0</v>
      </c>
    </row>
    <row r="19" spans="1:7" x14ac:dyDescent="0.25">
      <c r="A19" s="1" t="s">
        <v>23</v>
      </c>
      <c r="B19" s="1">
        <v>4</v>
      </c>
      <c r="C19" s="1">
        <v>1</v>
      </c>
      <c r="D19" s="1">
        <v>1</v>
      </c>
      <c r="E19" s="1">
        <v>1</v>
      </c>
      <c r="F19" s="1">
        <v>1</v>
      </c>
      <c r="G19" s="1">
        <v>0</v>
      </c>
    </row>
    <row r="20" spans="1:7" x14ac:dyDescent="0.25">
      <c r="A20" s="1" t="s">
        <v>24</v>
      </c>
      <c r="B20" s="1">
        <v>4.7</v>
      </c>
      <c r="C20" s="1">
        <v>2.4</v>
      </c>
      <c r="D20" s="1">
        <v>4.8</v>
      </c>
      <c r="E20" s="1">
        <v>1.1000000000000001</v>
      </c>
      <c r="F20" s="1">
        <v>1.2</v>
      </c>
      <c r="G20" s="1">
        <v>0</v>
      </c>
    </row>
    <row r="21" spans="1:7" x14ac:dyDescent="0.25">
      <c r="A21" s="1" t="s">
        <v>25</v>
      </c>
      <c r="B21" s="1">
        <v>5.4</v>
      </c>
      <c r="C21" s="1">
        <v>7.6</v>
      </c>
      <c r="D21" s="1">
        <v>5.2</v>
      </c>
      <c r="E21" s="1">
        <v>8.9</v>
      </c>
      <c r="F21" s="1">
        <v>8.8000000000000007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5.4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4.5999999999999996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54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46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-0.61</v>
      </c>
      <c r="C33" s="3">
        <v>-0.17</v>
      </c>
      <c r="D33" s="3">
        <v>-7.81</v>
      </c>
      <c r="E33" s="3">
        <v>0.02</v>
      </c>
      <c r="F33" s="3">
        <v>58.69</v>
      </c>
      <c r="G33" s="3">
        <v>218.1</v>
      </c>
    </row>
    <row r="35" spans="1:7" x14ac:dyDescent="0.25">
      <c r="A35" s="3" t="s">
        <v>36</v>
      </c>
      <c r="B35" s="3"/>
      <c r="C35" s="3"/>
      <c r="D35" s="3">
        <f>D33-C33</f>
        <v>-7.64</v>
      </c>
      <c r="E35" s="3"/>
      <c r="F35" s="3">
        <f>F33-E33</f>
        <v>58.669999999999995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7.8299999999999992</v>
      </c>
      <c r="F37" s="3"/>
      <c r="G37" s="3">
        <f>G33-F33</f>
        <v>159.41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F35D-1EA9-45D7-A104-950B12982436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372.4</v>
      </c>
      <c r="C2" s="1">
        <v>371.97</v>
      </c>
      <c r="D2" s="1">
        <v>406.11</v>
      </c>
      <c r="E2" s="1">
        <v>427.9</v>
      </c>
      <c r="F2" s="1">
        <v>394.18</v>
      </c>
      <c r="G2" s="1">
        <v>418.64</v>
      </c>
    </row>
    <row r="3" spans="1:7" x14ac:dyDescent="0.25">
      <c r="A3" s="1" t="s">
        <v>7</v>
      </c>
      <c r="B3" s="1">
        <v>36.53</v>
      </c>
      <c r="C3" s="1">
        <v>36.47</v>
      </c>
      <c r="D3" s="1">
        <v>37.89</v>
      </c>
      <c r="E3" s="1">
        <v>38.53</v>
      </c>
      <c r="F3" s="1">
        <v>38.36</v>
      </c>
      <c r="G3" s="1">
        <v>48.74</v>
      </c>
    </row>
    <row r="4" spans="1:7" x14ac:dyDescent="0.25">
      <c r="A4" s="1" t="s">
        <v>8</v>
      </c>
      <c r="B4" s="1">
        <v>13839.25</v>
      </c>
      <c r="C4" s="1">
        <v>13800.97</v>
      </c>
      <c r="D4" s="1">
        <v>15673.45</v>
      </c>
      <c r="E4" s="1">
        <v>16772.47</v>
      </c>
      <c r="F4" s="1">
        <v>15379.29</v>
      </c>
      <c r="G4" s="1">
        <v>20724.490000000002</v>
      </c>
    </row>
    <row r="5" spans="1:7" x14ac:dyDescent="0.25">
      <c r="A5" s="1" t="s">
        <v>9</v>
      </c>
      <c r="B5" s="1">
        <v>102.11</v>
      </c>
      <c r="C5" s="1">
        <v>91.75</v>
      </c>
      <c r="D5" s="1">
        <v>152.52000000000001</v>
      </c>
      <c r="E5" s="1">
        <v>81.150000000000006</v>
      </c>
      <c r="F5" s="1">
        <v>321.27</v>
      </c>
      <c r="G5" s="1">
        <v>259.94</v>
      </c>
    </row>
    <row r="6" spans="1:7" x14ac:dyDescent="0.25">
      <c r="A6" s="3" t="s">
        <v>10</v>
      </c>
      <c r="B6" s="3">
        <v>10.210000000000001</v>
      </c>
      <c r="C6" s="3">
        <v>9.27</v>
      </c>
      <c r="D6" s="3">
        <v>15.41</v>
      </c>
      <c r="E6" s="3">
        <v>8.1999999999999993</v>
      </c>
      <c r="F6" s="3">
        <v>32.450000000000003</v>
      </c>
      <c r="G6" s="3">
        <v>26.52</v>
      </c>
    </row>
    <row r="7" spans="1:7" x14ac:dyDescent="0.25">
      <c r="A7" s="1" t="s">
        <v>11</v>
      </c>
      <c r="B7" s="1">
        <v>96.13</v>
      </c>
      <c r="C7" s="1">
        <v>85.31</v>
      </c>
      <c r="D7" s="1">
        <v>147.93</v>
      </c>
      <c r="E7" s="1">
        <v>76.83</v>
      </c>
      <c r="F7" s="1">
        <v>307.83999999999997</v>
      </c>
      <c r="G7" s="1">
        <v>236.31</v>
      </c>
    </row>
    <row r="8" spans="1:7" x14ac:dyDescent="0.25">
      <c r="A8" s="1" t="s">
        <v>12</v>
      </c>
      <c r="B8" s="1">
        <v>9.61</v>
      </c>
      <c r="C8" s="1">
        <v>8.6199999999999992</v>
      </c>
      <c r="D8" s="1">
        <v>14.94</v>
      </c>
      <c r="E8" s="1">
        <v>7.76</v>
      </c>
      <c r="F8" s="1">
        <v>31.1</v>
      </c>
      <c r="G8" s="1">
        <v>24.11</v>
      </c>
    </row>
    <row r="9" spans="1:7" x14ac:dyDescent="0.25">
      <c r="A9" s="1" t="s">
        <v>13</v>
      </c>
      <c r="B9" s="1">
        <v>-7.4</v>
      </c>
      <c r="C9" s="1">
        <v>8.66</v>
      </c>
      <c r="D9" s="1">
        <v>-41.73</v>
      </c>
      <c r="E9" s="1">
        <v>7.99</v>
      </c>
      <c r="F9" s="1">
        <v>263.48</v>
      </c>
      <c r="G9" s="1">
        <v>133.71</v>
      </c>
    </row>
    <row r="10" spans="1:7" x14ac:dyDescent="0.25">
      <c r="A10" s="1" t="s">
        <v>14</v>
      </c>
      <c r="B10" s="1">
        <v>-0.74</v>
      </c>
      <c r="C10" s="1">
        <v>0.88</v>
      </c>
      <c r="D10" s="1">
        <v>-4.22</v>
      </c>
      <c r="E10" s="1">
        <v>0.81</v>
      </c>
      <c r="F10" s="1">
        <v>26.61</v>
      </c>
      <c r="G10" s="1">
        <v>13.64</v>
      </c>
    </row>
    <row r="11" spans="1:7" x14ac:dyDescent="0.25">
      <c r="A11" s="1" t="s">
        <v>15</v>
      </c>
      <c r="B11" s="1">
        <v>4.33</v>
      </c>
      <c r="C11" s="1">
        <v>3.15</v>
      </c>
      <c r="D11" s="1">
        <v>35.200000000000003</v>
      </c>
      <c r="E11" s="1">
        <v>7.36</v>
      </c>
      <c r="F11" s="1">
        <v>245.77</v>
      </c>
      <c r="G11" s="1">
        <v>68.599999999999994</v>
      </c>
    </row>
    <row r="12" spans="1:7" x14ac:dyDescent="0.25">
      <c r="A12" s="1" t="s">
        <v>16</v>
      </c>
      <c r="B12" s="1">
        <v>176.47</v>
      </c>
      <c r="C12" s="1">
        <v>171.57</v>
      </c>
      <c r="D12" s="1">
        <v>194.35</v>
      </c>
      <c r="E12" s="1">
        <v>206.81</v>
      </c>
      <c r="F12" s="1">
        <v>205.55</v>
      </c>
      <c r="G12" s="1">
        <v>221.79</v>
      </c>
    </row>
    <row r="13" spans="1:7" x14ac:dyDescent="0.25">
      <c r="A13" s="1" t="s">
        <v>17</v>
      </c>
      <c r="B13" s="1">
        <v>22.68</v>
      </c>
      <c r="C13" s="1">
        <v>22.53</v>
      </c>
      <c r="D13" s="1">
        <v>19.11</v>
      </c>
      <c r="E13" s="1">
        <v>17.47</v>
      </c>
      <c r="F13" s="1">
        <v>14.96</v>
      </c>
      <c r="G13" s="1">
        <v>35.61</v>
      </c>
    </row>
    <row r="14" spans="1:7" x14ac:dyDescent="0.25">
      <c r="A14" s="1" t="s">
        <v>18</v>
      </c>
      <c r="B14" s="1">
        <v>25.52</v>
      </c>
      <c r="C14" s="1">
        <v>25.46</v>
      </c>
      <c r="D14" s="1">
        <v>27.2</v>
      </c>
      <c r="E14" s="1">
        <v>21.33</v>
      </c>
      <c r="F14" s="1">
        <v>30.71</v>
      </c>
      <c r="G14" s="1">
        <v>48.06</v>
      </c>
    </row>
    <row r="15" spans="1:7" x14ac:dyDescent="0.25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44.36</v>
      </c>
      <c r="C17" s="1">
        <v>46.99</v>
      </c>
      <c r="D17" s="1">
        <v>53.1</v>
      </c>
      <c r="E17" s="1">
        <v>42.41</v>
      </c>
      <c r="F17" s="1">
        <v>285.66000000000003</v>
      </c>
      <c r="G17" s="1">
        <v>185.01</v>
      </c>
    </row>
    <row r="18" spans="1:7" x14ac:dyDescent="0.25">
      <c r="A18" s="1" t="s">
        <v>22</v>
      </c>
      <c r="B18" s="1">
        <v>51.77</v>
      </c>
      <c r="C18" s="1">
        <v>38.32</v>
      </c>
      <c r="D18" s="1">
        <v>94.83</v>
      </c>
      <c r="E18" s="1">
        <v>34.42</v>
      </c>
      <c r="F18" s="1">
        <v>22.18</v>
      </c>
      <c r="G18" s="1">
        <v>51.3</v>
      </c>
    </row>
    <row r="19" spans="1:7" x14ac:dyDescent="0.25">
      <c r="A19" s="1" t="s">
        <v>23</v>
      </c>
      <c r="B19" s="1">
        <v>2</v>
      </c>
      <c r="C19" s="1">
        <v>3</v>
      </c>
      <c r="D19" s="1">
        <v>2</v>
      </c>
      <c r="E19" s="1">
        <v>1</v>
      </c>
      <c r="F19" s="1">
        <v>1</v>
      </c>
      <c r="G19" s="1">
        <v>1</v>
      </c>
    </row>
    <row r="20" spans="1:7" x14ac:dyDescent="0.25">
      <c r="A20" s="1" t="s">
        <v>24</v>
      </c>
      <c r="B20" s="1">
        <v>2.2999999999999998</v>
      </c>
      <c r="C20" s="1">
        <v>3.3</v>
      </c>
      <c r="D20" s="1">
        <v>3.6</v>
      </c>
      <c r="E20" s="1">
        <v>1.6</v>
      </c>
      <c r="F20" s="1">
        <v>1.1000000000000001</v>
      </c>
      <c r="G20" s="1">
        <v>1.5</v>
      </c>
    </row>
    <row r="21" spans="1:7" x14ac:dyDescent="0.25">
      <c r="A21" s="1" t="s">
        <v>25</v>
      </c>
      <c r="B21" s="1">
        <v>7.8</v>
      </c>
      <c r="C21" s="1">
        <v>6.7</v>
      </c>
      <c r="D21" s="1">
        <v>6.4</v>
      </c>
      <c r="E21" s="1">
        <v>8.4</v>
      </c>
      <c r="F21" s="1">
        <v>8.9</v>
      </c>
      <c r="G21" s="1">
        <v>8.4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5.9</v>
      </c>
      <c r="G25" s="1">
        <v>8.4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4.0999999999999996</v>
      </c>
      <c r="G26" s="1">
        <v>1.5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59.000000000000007</v>
      </c>
      <c r="G30" s="3">
        <f t="shared" si="2"/>
        <v>84.848484848484844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41</v>
      </c>
      <c r="G31" s="3">
        <f t="shared" si="3"/>
        <v>15.151515151515152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-0.39</v>
      </c>
      <c r="C33" s="3">
        <v>0.09</v>
      </c>
      <c r="D33" s="3">
        <v>-3.24</v>
      </c>
      <c r="E33" s="3">
        <v>0.39</v>
      </c>
      <c r="F33" s="3">
        <v>26.81</v>
      </c>
      <c r="G33" s="3">
        <v>7.03</v>
      </c>
    </row>
    <row r="35" spans="1:7" x14ac:dyDescent="0.25">
      <c r="A35" s="3" t="s">
        <v>36</v>
      </c>
      <c r="B35" s="3"/>
      <c r="C35" s="3"/>
      <c r="D35" s="3">
        <f>D33-C33</f>
        <v>-3.33</v>
      </c>
      <c r="E35" s="3"/>
      <c r="F35" s="3">
        <f>F33-E33</f>
        <v>26.419999999999998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3.6300000000000003</v>
      </c>
      <c r="F37" s="3"/>
      <c r="G37" s="3">
        <f>G33-F33</f>
        <v>-19.779999999999998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F514-5BFF-414D-B93F-E3FD37E1960B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430.29</v>
      </c>
      <c r="C2" s="1">
        <v>438.03</v>
      </c>
      <c r="D2" s="1">
        <v>443.26</v>
      </c>
      <c r="E2" s="1">
        <v>309.02999999999997</v>
      </c>
      <c r="F2" s="1">
        <v>325.93</v>
      </c>
      <c r="G2" s="1">
        <v>355.93</v>
      </c>
    </row>
    <row r="3" spans="1:7" x14ac:dyDescent="0.25">
      <c r="A3" s="1" t="s">
        <v>7</v>
      </c>
      <c r="B3" s="1">
        <v>44.71</v>
      </c>
      <c r="C3" s="1">
        <v>45.37</v>
      </c>
      <c r="D3" s="1">
        <v>45.54</v>
      </c>
      <c r="E3" s="1">
        <v>47</v>
      </c>
      <c r="F3" s="1">
        <v>39.729999999999997</v>
      </c>
      <c r="G3" s="1">
        <v>37</v>
      </c>
    </row>
    <row r="4" spans="1:7" x14ac:dyDescent="0.25">
      <c r="A4" s="1" t="s">
        <v>8</v>
      </c>
      <c r="B4" s="1">
        <v>19548.009999999998</v>
      </c>
      <c r="C4" s="1">
        <v>20206.349999999999</v>
      </c>
      <c r="D4" s="1">
        <v>20532.560000000001</v>
      </c>
      <c r="E4" s="1">
        <v>14789.23</v>
      </c>
      <c r="F4" s="1">
        <v>13110.25</v>
      </c>
      <c r="G4" s="1">
        <v>13394.73</v>
      </c>
    </row>
    <row r="5" spans="1:7" x14ac:dyDescent="0.25">
      <c r="A5" s="1" t="s">
        <v>9</v>
      </c>
      <c r="B5" s="1">
        <v>179.81</v>
      </c>
      <c r="C5" s="1">
        <v>711.47</v>
      </c>
      <c r="D5" s="1">
        <v>498.47</v>
      </c>
      <c r="E5" s="1">
        <v>87.23</v>
      </c>
      <c r="F5" s="1">
        <v>310.68</v>
      </c>
      <c r="G5" s="1">
        <v>183.91</v>
      </c>
    </row>
    <row r="6" spans="1:7" x14ac:dyDescent="0.25">
      <c r="A6" s="3" t="s">
        <v>10</v>
      </c>
      <c r="B6" s="3">
        <v>17.98</v>
      </c>
      <c r="C6" s="3">
        <v>71.87</v>
      </c>
      <c r="D6" s="3">
        <v>50.35</v>
      </c>
      <c r="E6" s="3">
        <v>8.81</v>
      </c>
      <c r="F6" s="3">
        <v>31.38</v>
      </c>
      <c r="G6" s="3">
        <v>18.77</v>
      </c>
    </row>
    <row r="7" spans="1:7" x14ac:dyDescent="0.25">
      <c r="A7" s="1" t="s">
        <v>11</v>
      </c>
      <c r="B7" s="1">
        <v>171.37</v>
      </c>
      <c r="C7" s="1">
        <v>598.77</v>
      </c>
      <c r="D7" s="1">
        <v>362.48</v>
      </c>
      <c r="E7" s="1">
        <v>80.930000000000007</v>
      </c>
      <c r="F7" s="1">
        <v>300.45</v>
      </c>
      <c r="G7" s="1">
        <v>177.08</v>
      </c>
    </row>
    <row r="8" spans="1:7" x14ac:dyDescent="0.25">
      <c r="A8" s="1" t="s">
        <v>12</v>
      </c>
      <c r="B8" s="1">
        <v>17.14</v>
      </c>
      <c r="C8" s="1">
        <v>60.48</v>
      </c>
      <c r="D8" s="1">
        <v>36.61</v>
      </c>
      <c r="E8" s="1">
        <v>8.17</v>
      </c>
      <c r="F8" s="1">
        <v>30.35</v>
      </c>
      <c r="G8" s="1">
        <v>18.07</v>
      </c>
    </row>
    <row r="9" spans="1:7" x14ac:dyDescent="0.25">
      <c r="A9" s="1" t="s">
        <v>13</v>
      </c>
      <c r="B9" s="1">
        <v>127.81</v>
      </c>
      <c r="C9" s="1">
        <v>180.05</v>
      </c>
      <c r="D9" s="1">
        <v>61.81</v>
      </c>
      <c r="E9" s="1">
        <v>11.79</v>
      </c>
      <c r="F9" s="1">
        <v>208.15</v>
      </c>
      <c r="G9" s="1">
        <v>-29.09</v>
      </c>
    </row>
    <row r="10" spans="1:7" x14ac:dyDescent="0.25">
      <c r="A10" s="1" t="s">
        <v>14</v>
      </c>
      <c r="B10" s="1">
        <v>12.78</v>
      </c>
      <c r="C10" s="1">
        <v>18.190000000000001</v>
      </c>
      <c r="D10" s="1">
        <v>6.24</v>
      </c>
      <c r="E10" s="1">
        <v>1.19</v>
      </c>
      <c r="F10" s="1">
        <v>21.03</v>
      </c>
      <c r="G10" s="1">
        <v>-2.97</v>
      </c>
    </row>
    <row r="11" spans="1:7" x14ac:dyDescent="0.25">
      <c r="A11" s="1" t="s">
        <v>15</v>
      </c>
      <c r="B11" s="1">
        <v>124.15</v>
      </c>
      <c r="C11" s="1">
        <v>85.43</v>
      </c>
      <c r="D11" s="1">
        <v>50.36</v>
      </c>
      <c r="E11" s="1">
        <v>5.61</v>
      </c>
      <c r="F11" s="1">
        <v>136.47999999999999</v>
      </c>
      <c r="G11" s="1">
        <v>9.59</v>
      </c>
    </row>
    <row r="12" spans="1:7" x14ac:dyDescent="0.25">
      <c r="A12" s="1" t="s">
        <v>16</v>
      </c>
      <c r="B12" s="1">
        <v>178.27</v>
      </c>
      <c r="C12" s="1">
        <v>145.06</v>
      </c>
      <c r="D12" s="1">
        <v>130.65</v>
      </c>
      <c r="E12" s="1">
        <v>144.97</v>
      </c>
      <c r="F12" s="1">
        <v>189.05</v>
      </c>
      <c r="G12" s="1">
        <v>209.26</v>
      </c>
    </row>
    <row r="13" spans="1:7" x14ac:dyDescent="0.25">
      <c r="A13" s="1" t="s">
        <v>17</v>
      </c>
      <c r="B13" s="1">
        <v>39.17</v>
      </c>
      <c r="C13" s="1">
        <v>73.22</v>
      </c>
      <c r="D13" s="1">
        <v>75.88</v>
      </c>
      <c r="E13" s="1">
        <v>10.25</v>
      </c>
      <c r="F13" s="1">
        <v>20.83</v>
      </c>
      <c r="G13" s="1">
        <v>27.03</v>
      </c>
    </row>
    <row r="14" spans="1:7" x14ac:dyDescent="0.25">
      <c r="A14" s="1" t="s">
        <v>18</v>
      </c>
      <c r="B14" s="1">
        <v>78.86</v>
      </c>
      <c r="C14" s="1">
        <v>88.41</v>
      </c>
      <c r="D14" s="1">
        <v>86.22</v>
      </c>
      <c r="E14" s="1">
        <v>22.16</v>
      </c>
      <c r="F14" s="1">
        <v>47.08</v>
      </c>
      <c r="G14" s="1">
        <v>35.89</v>
      </c>
    </row>
    <row r="15" spans="1:7" x14ac:dyDescent="0.25">
      <c r="A15" s="1" t="s">
        <v>19</v>
      </c>
      <c r="B15" s="1">
        <v>1</v>
      </c>
      <c r="C15" s="1">
        <v>6</v>
      </c>
      <c r="D15" s="1">
        <v>6</v>
      </c>
      <c r="E15" s="1">
        <v>1</v>
      </c>
      <c r="F15" s="1">
        <v>2</v>
      </c>
      <c r="G15" s="1">
        <v>1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149.59</v>
      </c>
      <c r="C17" s="1">
        <v>389.41</v>
      </c>
      <c r="D17" s="1">
        <v>212.15</v>
      </c>
      <c r="E17" s="1">
        <v>46.36</v>
      </c>
      <c r="F17" s="1">
        <v>254.3</v>
      </c>
      <c r="G17" s="1">
        <v>73.989999999999995</v>
      </c>
    </row>
    <row r="18" spans="1:7" x14ac:dyDescent="0.25">
      <c r="A18" s="1" t="s">
        <v>22</v>
      </c>
      <c r="B18" s="1">
        <v>21.78</v>
      </c>
      <c r="C18" s="1">
        <v>209.36</v>
      </c>
      <c r="D18" s="1">
        <v>150.34</v>
      </c>
      <c r="E18" s="1">
        <v>34.57</v>
      </c>
      <c r="F18" s="1">
        <v>46.15</v>
      </c>
      <c r="G18" s="1">
        <v>103.09</v>
      </c>
    </row>
    <row r="19" spans="1:7" x14ac:dyDescent="0.25">
      <c r="A19" s="1" t="s">
        <v>23</v>
      </c>
      <c r="B19" s="1">
        <v>1</v>
      </c>
      <c r="C19" s="1">
        <v>1</v>
      </c>
      <c r="D19" s="1">
        <v>1</v>
      </c>
      <c r="E19" s="1">
        <v>2</v>
      </c>
      <c r="F19" s="1">
        <v>1</v>
      </c>
      <c r="G19" s="1">
        <v>3</v>
      </c>
    </row>
    <row r="20" spans="1:7" x14ac:dyDescent="0.25">
      <c r="A20" s="1" t="s">
        <v>24</v>
      </c>
      <c r="B20" s="1">
        <v>1.3</v>
      </c>
      <c r="C20" s="1">
        <v>1</v>
      </c>
      <c r="D20" s="1">
        <v>1.1000000000000001</v>
      </c>
      <c r="E20" s="1">
        <v>2</v>
      </c>
      <c r="F20" s="1">
        <v>1.2</v>
      </c>
      <c r="G20" s="1">
        <v>4</v>
      </c>
    </row>
    <row r="21" spans="1:7" x14ac:dyDescent="0.25">
      <c r="A21" s="1" t="s">
        <v>25</v>
      </c>
      <c r="B21" s="1">
        <v>8.8000000000000007</v>
      </c>
      <c r="C21" s="1">
        <v>9</v>
      </c>
      <c r="D21" s="1">
        <v>8.9</v>
      </c>
      <c r="E21" s="1">
        <v>8</v>
      </c>
      <c r="F21" s="1">
        <v>8.8000000000000007</v>
      </c>
      <c r="G21" s="1">
        <v>5.9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1.3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8.6999999999999993</v>
      </c>
      <c r="C25" s="1">
        <v>4.3</v>
      </c>
      <c r="D25" s="1">
        <v>10</v>
      </c>
      <c r="E25" s="1">
        <v>10</v>
      </c>
      <c r="F25" s="1">
        <v>8.1</v>
      </c>
      <c r="G25" s="1">
        <v>9.9</v>
      </c>
    </row>
    <row r="26" spans="1:7" x14ac:dyDescent="0.25">
      <c r="A26" s="1" t="s">
        <v>30</v>
      </c>
      <c r="B26" s="1">
        <v>1.4</v>
      </c>
      <c r="C26" s="1">
        <v>4.4000000000000004</v>
      </c>
      <c r="D26" s="1">
        <v>0</v>
      </c>
      <c r="E26" s="1">
        <v>0</v>
      </c>
      <c r="F26" s="1">
        <v>1.9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13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86.138613861386133</v>
      </c>
      <c r="C30" s="3">
        <f t="shared" ref="C30:G30" si="2">C25/C28*100</f>
        <v>43</v>
      </c>
      <c r="D30" s="3">
        <f t="shared" si="2"/>
        <v>100</v>
      </c>
      <c r="E30" s="3">
        <f t="shared" si="2"/>
        <v>100</v>
      </c>
      <c r="F30" s="3">
        <f t="shared" si="2"/>
        <v>81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13.861386138613859</v>
      </c>
      <c r="C31" s="3">
        <f t="shared" ref="C31:G31" si="3">C26/C28*100</f>
        <v>44.000000000000007</v>
      </c>
      <c r="D31" s="3">
        <f t="shared" si="3"/>
        <v>0</v>
      </c>
      <c r="E31" s="3">
        <f t="shared" si="3"/>
        <v>0</v>
      </c>
      <c r="F31" s="3">
        <f t="shared" si="3"/>
        <v>19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13.19</v>
      </c>
      <c r="C33" s="3">
        <v>10.44</v>
      </c>
      <c r="D33" s="3">
        <v>5.13</v>
      </c>
      <c r="E33" s="3">
        <v>0.45</v>
      </c>
      <c r="F33" s="3">
        <v>15</v>
      </c>
      <c r="G33" s="3">
        <v>-0.65</v>
      </c>
    </row>
    <row r="35" spans="1:7" x14ac:dyDescent="0.25">
      <c r="A35" s="3" t="s">
        <v>36</v>
      </c>
      <c r="B35" s="3"/>
      <c r="C35" s="3"/>
      <c r="D35" s="3">
        <f>D33-C33</f>
        <v>-5.31</v>
      </c>
      <c r="E35" s="3"/>
      <c r="F35" s="3">
        <f>F33-E33</f>
        <v>14.55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-4.68</v>
      </c>
      <c r="F37" s="3"/>
      <c r="G37" s="3">
        <f>G33-F33</f>
        <v>-15.65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3D0C-A96D-47D1-90A0-38143969C0BF}">
  <dimension ref="A1:G37"/>
  <sheetViews>
    <sheetView topLeftCell="A7"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510.37</v>
      </c>
      <c r="C2" s="1">
        <v>520.44000000000005</v>
      </c>
      <c r="D2" s="1">
        <v>520.80999999999995</v>
      </c>
      <c r="E2" s="1">
        <v>521</v>
      </c>
      <c r="F2" s="1">
        <v>492.42</v>
      </c>
      <c r="G2" s="1">
        <v>493.07</v>
      </c>
    </row>
    <row r="3" spans="1:7" x14ac:dyDescent="0.25">
      <c r="A3" s="1" t="s">
        <v>7</v>
      </c>
      <c r="B3" s="1">
        <v>44.05</v>
      </c>
      <c r="C3" s="1">
        <v>44.09</v>
      </c>
      <c r="D3" s="1">
        <v>44.25</v>
      </c>
      <c r="E3" s="1">
        <v>44.47</v>
      </c>
      <c r="F3" s="1">
        <v>44.57</v>
      </c>
      <c r="G3" s="1">
        <v>44.52</v>
      </c>
    </row>
    <row r="4" spans="1:7" x14ac:dyDescent="0.25">
      <c r="A4" s="1" t="s">
        <v>8</v>
      </c>
      <c r="B4" s="1">
        <v>22870.28</v>
      </c>
      <c r="C4" s="1">
        <v>23340.84</v>
      </c>
      <c r="D4" s="1">
        <v>23441.08</v>
      </c>
      <c r="E4" s="1">
        <v>23567.97</v>
      </c>
      <c r="F4" s="1">
        <v>22309.040000000001</v>
      </c>
      <c r="G4" s="1">
        <v>22325.67</v>
      </c>
    </row>
    <row r="5" spans="1:7" x14ac:dyDescent="0.25">
      <c r="A5" s="1" t="s">
        <v>9</v>
      </c>
      <c r="B5" s="1">
        <v>125.37</v>
      </c>
      <c r="C5" s="1">
        <v>62.05</v>
      </c>
      <c r="D5" s="1">
        <v>74.44</v>
      </c>
      <c r="E5" s="1">
        <v>51.88</v>
      </c>
      <c r="F5" s="1">
        <v>343.94</v>
      </c>
      <c r="G5" s="1">
        <v>911.95</v>
      </c>
    </row>
    <row r="6" spans="1:7" x14ac:dyDescent="0.25">
      <c r="A6" s="3" t="s">
        <v>10</v>
      </c>
      <c r="B6" s="3">
        <v>12.54</v>
      </c>
      <c r="C6" s="3">
        <v>6.27</v>
      </c>
      <c r="D6" s="3">
        <v>7.52</v>
      </c>
      <c r="E6" s="3">
        <v>5.24</v>
      </c>
      <c r="F6" s="3">
        <v>34.74</v>
      </c>
      <c r="G6" s="3">
        <v>93.06</v>
      </c>
    </row>
    <row r="7" spans="1:7" x14ac:dyDescent="0.25">
      <c r="A7" s="1" t="s">
        <v>11</v>
      </c>
      <c r="B7" s="1">
        <v>122.89</v>
      </c>
      <c r="C7" s="1">
        <v>56.7</v>
      </c>
      <c r="D7" s="1">
        <v>69.89</v>
      </c>
      <c r="E7" s="1">
        <v>43.75</v>
      </c>
      <c r="F7" s="1">
        <v>340.49</v>
      </c>
      <c r="G7" s="1">
        <v>907.49</v>
      </c>
    </row>
    <row r="8" spans="1:7" x14ac:dyDescent="0.25">
      <c r="A8" s="1" t="s">
        <v>12</v>
      </c>
      <c r="B8" s="1">
        <v>12.29</v>
      </c>
      <c r="C8" s="1">
        <v>5.73</v>
      </c>
      <c r="D8" s="1">
        <v>7.06</v>
      </c>
      <c r="E8" s="1">
        <v>4.42</v>
      </c>
      <c r="F8" s="1">
        <v>34.39</v>
      </c>
      <c r="G8" s="1">
        <v>92.6</v>
      </c>
    </row>
    <row r="9" spans="1:7" x14ac:dyDescent="0.25">
      <c r="A9" s="1" t="s">
        <v>13</v>
      </c>
      <c r="B9" s="1">
        <v>103.71</v>
      </c>
      <c r="C9" s="1">
        <v>5.92</v>
      </c>
      <c r="D9" s="1">
        <v>-30.87</v>
      </c>
      <c r="E9" s="1">
        <v>-4.53</v>
      </c>
      <c r="F9" s="1">
        <v>330.6</v>
      </c>
      <c r="G9" s="1">
        <v>907.49</v>
      </c>
    </row>
    <row r="10" spans="1:7" x14ac:dyDescent="0.25">
      <c r="A10" s="1" t="s">
        <v>14</v>
      </c>
      <c r="B10" s="1">
        <v>10.37</v>
      </c>
      <c r="C10" s="1">
        <v>0.6</v>
      </c>
      <c r="D10" s="1">
        <v>-3.12</v>
      </c>
      <c r="E10" s="1">
        <v>-0.46</v>
      </c>
      <c r="F10" s="1">
        <v>33.39</v>
      </c>
      <c r="G10" s="1">
        <v>92.6</v>
      </c>
    </row>
    <row r="11" spans="1:7" x14ac:dyDescent="0.25">
      <c r="A11" s="1" t="s">
        <v>15</v>
      </c>
      <c r="B11" s="1">
        <v>96.15</v>
      </c>
      <c r="C11" s="1">
        <v>3.5</v>
      </c>
      <c r="D11" s="1">
        <v>26.94</v>
      </c>
      <c r="E11" s="1">
        <v>2.73</v>
      </c>
      <c r="F11" s="1">
        <v>287.54000000000002</v>
      </c>
      <c r="G11" s="1">
        <v>764</v>
      </c>
    </row>
    <row r="12" spans="1:7" x14ac:dyDescent="0.25">
      <c r="A12" s="1" t="s">
        <v>16</v>
      </c>
      <c r="B12" s="1">
        <v>253.59</v>
      </c>
      <c r="C12" s="1">
        <v>298.55</v>
      </c>
      <c r="D12" s="1">
        <v>273.25</v>
      </c>
      <c r="E12" s="1">
        <v>271.29000000000002</v>
      </c>
      <c r="F12" s="1">
        <v>270.81</v>
      </c>
      <c r="G12" s="1">
        <v>277.73</v>
      </c>
    </row>
    <row r="13" spans="1:7" x14ac:dyDescent="0.25">
      <c r="A13" s="1" t="s">
        <v>17</v>
      </c>
      <c r="B13" s="1">
        <v>40.24</v>
      </c>
      <c r="C13" s="1">
        <v>3.89</v>
      </c>
      <c r="D13" s="1">
        <v>15.42</v>
      </c>
      <c r="E13" s="1">
        <v>17.920000000000002</v>
      </c>
      <c r="F13" s="1">
        <v>21.1</v>
      </c>
      <c r="G13" s="1">
        <v>31.28</v>
      </c>
    </row>
    <row r="14" spans="1:7" x14ac:dyDescent="0.25">
      <c r="A14" s="1" t="s">
        <v>18</v>
      </c>
      <c r="B14" s="1">
        <v>50.63</v>
      </c>
      <c r="C14" s="1">
        <v>8.27</v>
      </c>
      <c r="D14" s="1">
        <v>23.97</v>
      </c>
      <c r="E14" s="1">
        <v>22.34</v>
      </c>
      <c r="F14" s="1">
        <v>41.01</v>
      </c>
      <c r="G14" s="1">
        <v>71.63</v>
      </c>
    </row>
    <row r="15" spans="1:7" x14ac:dyDescent="0.25">
      <c r="A15" s="1" t="s">
        <v>19</v>
      </c>
      <c r="B15" s="1">
        <v>1</v>
      </c>
      <c r="C15" s="1">
        <v>0</v>
      </c>
      <c r="D15" s="1">
        <v>0</v>
      </c>
      <c r="E15" s="1">
        <v>0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113.3</v>
      </c>
      <c r="C17" s="1">
        <v>31.31</v>
      </c>
      <c r="D17" s="1">
        <v>19.510000000000002</v>
      </c>
      <c r="E17" s="1">
        <v>19.61</v>
      </c>
      <c r="F17" s="1">
        <v>335.54</v>
      </c>
      <c r="G17" s="1">
        <v>907.49</v>
      </c>
    </row>
    <row r="18" spans="1:7" x14ac:dyDescent="0.25">
      <c r="A18" s="1" t="s">
        <v>22</v>
      </c>
      <c r="B18" s="1">
        <v>9.59</v>
      </c>
      <c r="C18" s="1">
        <v>25.39</v>
      </c>
      <c r="D18" s="1">
        <v>50.38</v>
      </c>
      <c r="E18" s="1">
        <v>24.14</v>
      </c>
      <c r="F18" s="1">
        <v>4.9400000000000004</v>
      </c>
      <c r="G18" s="1">
        <v>0</v>
      </c>
    </row>
    <row r="19" spans="1:7" x14ac:dyDescent="0.25">
      <c r="A19" s="1" t="s">
        <v>23</v>
      </c>
      <c r="B19" s="1">
        <v>0</v>
      </c>
      <c r="C19" s="1">
        <v>1</v>
      </c>
      <c r="D19" s="1">
        <v>2</v>
      </c>
      <c r="E19" s="1">
        <v>1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1</v>
      </c>
      <c r="D20" s="1">
        <v>4.0999999999999996</v>
      </c>
      <c r="E20" s="1">
        <v>1.1000000000000001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9</v>
      </c>
      <c r="D21" s="1">
        <v>5.9</v>
      </c>
      <c r="E21" s="1">
        <v>8.9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6.8</v>
      </c>
      <c r="G25" s="1">
        <v>0</v>
      </c>
    </row>
    <row r="26" spans="1:7" x14ac:dyDescent="0.25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3.2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68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32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10.19</v>
      </c>
      <c r="C33" s="3">
        <v>0.16</v>
      </c>
      <c r="D33" s="3">
        <v>-2.4900000000000002</v>
      </c>
      <c r="E33" s="3">
        <v>-0.12</v>
      </c>
      <c r="F33" s="3">
        <v>32.24</v>
      </c>
      <c r="G33" s="3">
        <v>92.1</v>
      </c>
    </row>
    <row r="35" spans="1:7" x14ac:dyDescent="0.25">
      <c r="A35" s="3" t="s">
        <v>36</v>
      </c>
      <c r="B35" s="3"/>
      <c r="C35" s="3"/>
      <c r="D35" s="3">
        <f>D33-C33</f>
        <v>-2.6500000000000004</v>
      </c>
      <c r="E35" s="3"/>
      <c r="F35" s="3">
        <f>F33-E33</f>
        <v>32.36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2.37</v>
      </c>
      <c r="F37" s="3"/>
      <c r="G37" s="3">
        <f>G33-F33</f>
        <v>59.859999999999992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43D3-60F8-4CC0-85C4-D2BCF0E959EF}">
  <dimension ref="A1:G37"/>
  <sheetViews>
    <sheetView topLeftCell="A7"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418.28</v>
      </c>
      <c r="C2" s="1">
        <v>423.31</v>
      </c>
      <c r="D2" s="1">
        <v>427.6</v>
      </c>
      <c r="E2" s="1">
        <v>428.75</v>
      </c>
      <c r="F2" s="1">
        <v>438.62</v>
      </c>
      <c r="G2" s="1">
        <v>458.65</v>
      </c>
    </row>
    <row r="3" spans="1:7" x14ac:dyDescent="0.25">
      <c r="A3" s="1" t="s">
        <v>7</v>
      </c>
      <c r="B3" s="1">
        <v>43.13</v>
      </c>
      <c r="C3" s="1">
        <v>45.55</v>
      </c>
      <c r="D3" s="1">
        <v>44.6</v>
      </c>
      <c r="E3" s="1">
        <v>42.72</v>
      </c>
      <c r="F3" s="1">
        <v>45.18</v>
      </c>
      <c r="G3" s="1">
        <v>47.12</v>
      </c>
    </row>
    <row r="4" spans="1:7" x14ac:dyDescent="0.25">
      <c r="A4" s="1" t="s">
        <v>8</v>
      </c>
      <c r="B4" s="1">
        <v>18362.740000000002</v>
      </c>
      <c r="C4" s="1">
        <v>19600.939999999999</v>
      </c>
      <c r="D4" s="1">
        <v>19390.849999999999</v>
      </c>
      <c r="E4" s="1">
        <v>18588.88</v>
      </c>
      <c r="F4" s="1">
        <v>20139.150000000001</v>
      </c>
      <c r="G4" s="1">
        <v>21980.09</v>
      </c>
    </row>
    <row r="5" spans="1:7" x14ac:dyDescent="0.25">
      <c r="A5" s="1" t="s">
        <v>9</v>
      </c>
      <c r="B5" s="1">
        <v>1548.94</v>
      </c>
      <c r="C5" s="1">
        <v>1653.8</v>
      </c>
      <c r="D5" s="1">
        <v>1989.45</v>
      </c>
      <c r="E5" s="1">
        <v>1733.87</v>
      </c>
      <c r="F5" s="1">
        <v>2230.98</v>
      </c>
      <c r="G5" s="1">
        <v>2087.89</v>
      </c>
    </row>
    <row r="6" spans="1:7" x14ac:dyDescent="0.25">
      <c r="A6" s="3" t="s">
        <v>10</v>
      </c>
      <c r="B6" s="3">
        <v>154.88999999999999</v>
      </c>
      <c r="C6" s="3">
        <v>167.05</v>
      </c>
      <c r="D6" s="3">
        <v>200.95</v>
      </c>
      <c r="E6" s="3">
        <v>175.14</v>
      </c>
      <c r="F6" s="3">
        <v>225.35</v>
      </c>
      <c r="G6" s="3">
        <v>213.05</v>
      </c>
    </row>
    <row r="7" spans="1:7" x14ac:dyDescent="0.25">
      <c r="A7" s="1" t="s">
        <v>11</v>
      </c>
      <c r="B7" s="1">
        <v>1442.38</v>
      </c>
      <c r="C7" s="1">
        <v>1575.21</v>
      </c>
      <c r="D7" s="1">
        <v>1844.78</v>
      </c>
      <c r="E7" s="1">
        <v>1615.76</v>
      </c>
      <c r="F7" s="1">
        <v>2096.0100000000002</v>
      </c>
      <c r="G7" s="1">
        <v>2016.25</v>
      </c>
    </row>
    <row r="8" spans="1:7" x14ac:dyDescent="0.25">
      <c r="A8" s="1" t="s">
        <v>12</v>
      </c>
      <c r="B8" s="1">
        <v>144.24</v>
      </c>
      <c r="C8" s="1">
        <v>159.11000000000001</v>
      </c>
      <c r="D8" s="1">
        <v>186.34</v>
      </c>
      <c r="E8" s="1">
        <v>163.21</v>
      </c>
      <c r="F8" s="1">
        <v>211.72</v>
      </c>
      <c r="G8" s="1">
        <v>205.74</v>
      </c>
    </row>
    <row r="9" spans="1:7" x14ac:dyDescent="0.25">
      <c r="A9" s="1" t="s">
        <v>13</v>
      </c>
      <c r="B9" s="1">
        <v>1442.38</v>
      </c>
      <c r="C9" s="1">
        <v>1575.21</v>
      </c>
      <c r="D9" s="1">
        <v>1844.78</v>
      </c>
      <c r="E9" s="1">
        <v>1615.76</v>
      </c>
      <c r="F9" s="1">
        <v>2096.0100000000002</v>
      </c>
      <c r="G9" s="1">
        <v>2016.25</v>
      </c>
    </row>
    <row r="10" spans="1:7" x14ac:dyDescent="0.25">
      <c r="A10" s="1" t="s">
        <v>14</v>
      </c>
      <c r="B10" s="1">
        <v>144.24</v>
      </c>
      <c r="C10" s="1">
        <v>159.11000000000001</v>
      </c>
      <c r="D10" s="1">
        <v>186.34</v>
      </c>
      <c r="E10" s="1">
        <v>163.21</v>
      </c>
      <c r="F10" s="1">
        <v>211.72</v>
      </c>
      <c r="G10" s="1">
        <v>205.74</v>
      </c>
    </row>
    <row r="11" spans="1:7" x14ac:dyDescent="0.25">
      <c r="A11" s="1" t="s">
        <v>15</v>
      </c>
      <c r="B11" s="1">
        <v>1225.0999999999999</v>
      </c>
      <c r="C11" s="1">
        <v>1197.75</v>
      </c>
      <c r="D11" s="1">
        <v>1078.28</v>
      </c>
      <c r="E11" s="1">
        <v>1236.51</v>
      </c>
      <c r="F11" s="1">
        <v>1684.4</v>
      </c>
      <c r="G11" s="1">
        <v>1697.29</v>
      </c>
    </row>
    <row r="12" spans="1:7" x14ac:dyDescent="0.25">
      <c r="A12" s="1" t="s">
        <v>16</v>
      </c>
      <c r="B12" s="1">
        <v>247.86</v>
      </c>
      <c r="C12" s="1">
        <v>253.83</v>
      </c>
      <c r="D12" s="1">
        <v>239.9</v>
      </c>
      <c r="E12" s="1">
        <v>258.60000000000002</v>
      </c>
      <c r="F12" s="1">
        <v>260.87</v>
      </c>
      <c r="G12" s="1">
        <v>275.02999999999997</v>
      </c>
    </row>
    <row r="13" spans="1:7" x14ac:dyDescent="0.25">
      <c r="A13" s="1" t="s">
        <v>17</v>
      </c>
      <c r="B13" s="1">
        <v>33.590000000000003</v>
      </c>
      <c r="C13" s="1">
        <v>40.36</v>
      </c>
      <c r="D13" s="1">
        <v>47.36</v>
      </c>
      <c r="E13" s="1">
        <v>38.15</v>
      </c>
      <c r="F13" s="1">
        <v>41.26</v>
      </c>
      <c r="G13" s="1">
        <v>35.67</v>
      </c>
    </row>
    <row r="14" spans="1:7" x14ac:dyDescent="0.25">
      <c r="A14" s="1" t="s">
        <v>18</v>
      </c>
      <c r="B14" s="1">
        <v>74.599999999999994</v>
      </c>
      <c r="C14" s="1">
        <v>71.3</v>
      </c>
      <c r="D14" s="1">
        <v>88.25</v>
      </c>
      <c r="E14" s="1">
        <v>75.37</v>
      </c>
      <c r="F14" s="1">
        <v>73.05</v>
      </c>
      <c r="G14" s="1">
        <v>76.62</v>
      </c>
    </row>
    <row r="15" spans="1:7" x14ac:dyDescent="0.25">
      <c r="A15" s="1" t="s">
        <v>19</v>
      </c>
      <c r="B15" s="1">
        <v>8</v>
      </c>
      <c r="C15" s="1">
        <v>9</v>
      </c>
      <c r="D15" s="1">
        <v>8</v>
      </c>
      <c r="E15" s="1">
        <v>9</v>
      </c>
      <c r="F15" s="1">
        <v>11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1442.38</v>
      </c>
      <c r="C17" s="1">
        <v>1575.21</v>
      </c>
      <c r="D17" s="1">
        <v>1844.78</v>
      </c>
      <c r="E17" s="1">
        <v>1615.76</v>
      </c>
      <c r="F17" s="1">
        <v>2096.0100000000002</v>
      </c>
      <c r="G17" s="1">
        <v>2016.25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151.03</v>
      </c>
      <c r="C33" s="3">
        <v>162.44</v>
      </c>
      <c r="D33" s="3">
        <v>196.73</v>
      </c>
      <c r="E33" s="3">
        <v>172.28</v>
      </c>
      <c r="F33" s="3">
        <v>219.98</v>
      </c>
      <c r="G33" s="3">
        <v>208.19</v>
      </c>
    </row>
    <row r="35" spans="1:7" x14ac:dyDescent="0.25">
      <c r="A35" s="3" t="s">
        <v>36</v>
      </c>
      <c r="B35" s="3"/>
      <c r="C35" s="3"/>
      <c r="D35" s="3">
        <f>D33-C33</f>
        <v>34.289999999999992</v>
      </c>
      <c r="E35" s="3"/>
      <c r="F35" s="3">
        <f>F33-E33</f>
        <v>47.699999999999989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-24.449999999999989</v>
      </c>
      <c r="F37" s="3"/>
      <c r="G37" s="3">
        <f>G33-F33</f>
        <v>-11.789999999999992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8666-5832-45E8-8D7E-EF6C18603669}">
  <dimension ref="A1:G37"/>
  <sheetViews>
    <sheetView zoomScale="80" zoomScaleNormal="80" workbookViewId="0">
      <selection activeCell="J38" sqref="J3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424.56</v>
      </c>
      <c r="C2" s="1">
        <v>421</v>
      </c>
      <c r="D2" s="1">
        <v>447.46</v>
      </c>
      <c r="E2" s="1">
        <v>455.73</v>
      </c>
      <c r="F2" s="1">
        <v>468.29</v>
      </c>
      <c r="G2" s="1">
        <v>450.33</v>
      </c>
    </row>
    <row r="3" spans="1:7" x14ac:dyDescent="0.25">
      <c r="A3" s="1" t="s">
        <v>7</v>
      </c>
      <c r="B3" s="1">
        <v>45.64</v>
      </c>
      <c r="C3" s="1">
        <v>46.51</v>
      </c>
      <c r="D3" s="1">
        <v>49.21</v>
      </c>
      <c r="E3" s="1">
        <v>51.45</v>
      </c>
      <c r="F3" s="1">
        <v>54.11</v>
      </c>
      <c r="G3" s="1">
        <v>58.06</v>
      </c>
    </row>
    <row r="4" spans="1:7" x14ac:dyDescent="0.25">
      <c r="A4" s="1" t="s">
        <v>8</v>
      </c>
      <c r="B4" s="1">
        <v>19714.29</v>
      </c>
      <c r="C4" s="1">
        <v>19925.03</v>
      </c>
      <c r="D4" s="1">
        <v>22398.2</v>
      </c>
      <c r="E4" s="1">
        <v>23844.92</v>
      </c>
      <c r="F4" s="1">
        <v>25809.77</v>
      </c>
      <c r="G4" s="1">
        <v>26620.66</v>
      </c>
    </row>
    <row r="5" spans="1:7" x14ac:dyDescent="0.25">
      <c r="A5" s="1" t="s">
        <v>9</v>
      </c>
      <c r="B5" s="1">
        <v>2023.06</v>
      </c>
      <c r="C5" s="1">
        <v>1759.67</v>
      </c>
      <c r="D5" s="1">
        <v>1715.81</v>
      </c>
      <c r="E5" s="1">
        <v>1818.05</v>
      </c>
      <c r="F5" s="1">
        <v>1940.8</v>
      </c>
      <c r="G5" s="1">
        <v>1993.24</v>
      </c>
    </row>
    <row r="6" spans="1:7" x14ac:dyDescent="0.25">
      <c r="A6" s="3" t="s">
        <v>10</v>
      </c>
      <c r="B6" s="3">
        <v>202.31</v>
      </c>
      <c r="C6" s="3">
        <v>177.74</v>
      </c>
      <c r="D6" s="3">
        <v>173.31</v>
      </c>
      <c r="E6" s="3">
        <v>183.64</v>
      </c>
      <c r="F6" s="3">
        <v>196.04</v>
      </c>
      <c r="G6" s="3">
        <v>203.39</v>
      </c>
    </row>
    <row r="7" spans="1:7" x14ac:dyDescent="0.25">
      <c r="A7" s="1" t="s">
        <v>11</v>
      </c>
      <c r="B7" s="1">
        <v>1877.25</v>
      </c>
      <c r="C7" s="1">
        <v>1676.76</v>
      </c>
      <c r="D7" s="1">
        <v>1686.51</v>
      </c>
      <c r="E7" s="1">
        <v>1784.91</v>
      </c>
      <c r="F7" s="1">
        <v>1876.01</v>
      </c>
      <c r="G7" s="1">
        <v>1924.54</v>
      </c>
    </row>
    <row r="8" spans="1:7" x14ac:dyDescent="0.25">
      <c r="A8" s="1" t="s">
        <v>12</v>
      </c>
      <c r="B8" s="1">
        <v>187.73</v>
      </c>
      <c r="C8" s="1">
        <v>169.37</v>
      </c>
      <c r="D8" s="1">
        <v>170.35</v>
      </c>
      <c r="E8" s="1">
        <v>180.29</v>
      </c>
      <c r="F8" s="1">
        <v>189.5</v>
      </c>
      <c r="G8" s="1">
        <v>196.38</v>
      </c>
    </row>
    <row r="9" spans="1:7" x14ac:dyDescent="0.25">
      <c r="A9" s="1" t="s">
        <v>13</v>
      </c>
      <c r="B9" s="1">
        <v>1877.25</v>
      </c>
      <c r="C9" s="1">
        <v>1676.76</v>
      </c>
      <c r="D9" s="1">
        <v>1686.51</v>
      </c>
      <c r="E9" s="1">
        <v>1784.91</v>
      </c>
      <c r="F9" s="1">
        <v>1876.01</v>
      </c>
      <c r="G9" s="1">
        <v>1919.2</v>
      </c>
    </row>
    <row r="10" spans="1:7" x14ac:dyDescent="0.25">
      <c r="A10" s="1" t="s">
        <v>14</v>
      </c>
      <c r="B10" s="1">
        <v>187.73</v>
      </c>
      <c r="C10" s="1">
        <v>169.37</v>
      </c>
      <c r="D10" s="1">
        <v>170.35</v>
      </c>
      <c r="E10" s="1">
        <v>180.29</v>
      </c>
      <c r="F10" s="1">
        <v>189.5</v>
      </c>
      <c r="G10" s="1">
        <v>195.84</v>
      </c>
    </row>
    <row r="11" spans="1:7" x14ac:dyDescent="0.25">
      <c r="A11" s="1" t="s">
        <v>15</v>
      </c>
      <c r="B11" s="1">
        <v>1496.36</v>
      </c>
      <c r="C11" s="1">
        <v>1422.12</v>
      </c>
      <c r="D11" s="1">
        <v>1483.93</v>
      </c>
      <c r="E11" s="1">
        <v>1537.64</v>
      </c>
      <c r="F11" s="1">
        <v>1666.83</v>
      </c>
      <c r="G11" s="1">
        <v>1797.28</v>
      </c>
    </row>
    <row r="12" spans="1:7" x14ac:dyDescent="0.25">
      <c r="A12" s="1" t="s">
        <v>16</v>
      </c>
      <c r="B12" s="1">
        <v>255.23</v>
      </c>
      <c r="C12" s="1">
        <v>273.27999999999997</v>
      </c>
      <c r="D12" s="1">
        <v>255.76</v>
      </c>
      <c r="E12" s="1">
        <v>269.08</v>
      </c>
      <c r="F12" s="1">
        <v>258.29000000000002</v>
      </c>
      <c r="G12" s="1">
        <v>257.75</v>
      </c>
    </row>
    <row r="13" spans="1:7" x14ac:dyDescent="0.25">
      <c r="A13" s="1" t="s">
        <v>17</v>
      </c>
      <c r="B13" s="1">
        <v>32.090000000000003</v>
      </c>
      <c r="C13" s="1">
        <v>27.47</v>
      </c>
      <c r="D13" s="1">
        <v>29.91</v>
      </c>
      <c r="E13" s="1">
        <v>33.340000000000003</v>
      </c>
      <c r="F13" s="1">
        <v>29.61</v>
      </c>
      <c r="G13" s="1">
        <v>28.38</v>
      </c>
    </row>
    <row r="14" spans="1:7" x14ac:dyDescent="0.25">
      <c r="A14" s="1" t="s">
        <v>18</v>
      </c>
      <c r="B14" s="1">
        <v>81.66</v>
      </c>
      <c r="C14" s="1">
        <v>73.47</v>
      </c>
      <c r="D14" s="1">
        <v>55.01</v>
      </c>
      <c r="E14" s="1">
        <v>62.07</v>
      </c>
      <c r="F14" s="1">
        <v>70.53</v>
      </c>
      <c r="G14" s="1">
        <v>52.61</v>
      </c>
    </row>
    <row r="15" spans="1:7" x14ac:dyDescent="0.25">
      <c r="A15" s="1" t="s">
        <v>19</v>
      </c>
      <c r="B15" s="1">
        <v>8</v>
      </c>
      <c r="C15" s="1">
        <v>9</v>
      </c>
      <c r="D15" s="1">
        <v>8</v>
      </c>
      <c r="E15" s="1">
        <v>11</v>
      </c>
      <c r="F15" s="1">
        <v>7</v>
      </c>
      <c r="G15" s="1">
        <v>10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1877.25</v>
      </c>
      <c r="C17" s="1">
        <v>1676.76</v>
      </c>
      <c r="D17" s="1">
        <v>1686.51</v>
      </c>
      <c r="E17" s="1">
        <v>1784.91</v>
      </c>
      <c r="F17" s="1">
        <v>1876.01</v>
      </c>
      <c r="G17" s="1">
        <v>1921.87</v>
      </c>
    </row>
    <row r="18" spans="1:7" x14ac:dyDescent="0.25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2.67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197.96</v>
      </c>
      <c r="C33" s="3">
        <v>175.23</v>
      </c>
      <c r="D33" s="3">
        <v>170.9</v>
      </c>
      <c r="E33" s="3">
        <v>182.17</v>
      </c>
      <c r="F33" s="3">
        <v>192.04</v>
      </c>
      <c r="G33" s="3">
        <v>203.7</v>
      </c>
    </row>
    <row r="35" spans="1:7" x14ac:dyDescent="0.25">
      <c r="A35" s="3" t="s">
        <v>36</v>
      </c>
      <c r="B35" s="3"/>
      <c r="C35" s="3"/>
      <c r="D35" s="3">
        <f>D33-C33</f>
        <v>-4.3299999999999841</v>
      </c>
      <c r="E35" s="3"/>
      <c r="F35" s="3">
        <f>F33-E33</f>
        <v>9.8700000000000045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11.269999999999982</v>
      </c>
      <c r="F37" s="3"/>
      <c r="G37" s="3">
        <f>G33-F33</f>
        <v>11.659999999999997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8357-1F4C-4D68-BD83-760FE286A748}">
  <dimension ref="A1:G37"/>
  <sheetViews>
    <sheetView topLeftCell="A7"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472.73</v>
      </c>
      <c r="C2" s="1">
        <v>468.94</v>
      </c>
      <c r="D2" s="1">
        <v>494.95</v>
      </c>
      <c r="E2" s="1">
        <v>474.39</v>
      </c>
      <c r="F2" s="1">
        <v>507.34</v>
      </c>
      <c r="G2" s="1">
        <v>485.03</v>
      </c>
    </row>
    <row r="3" spans="1:7" x14ac:dyDescent="0.25">
      <c r="A3" s="1" t="s">
        <v>7</v>
      </c>
      <c r="B3" s="1">
        <v>54.32</v>
      </c>
      <c r="C3" s="1">
        <v>60.24</v>
      </c>
      <c r="D3" s="1">
        <v>57.12</v>
      </c>
      <c r="E3" s="1">
        <v>57.8</v>
      </c>
      <c r="F3" s="1">
        <v>61.98</v>
      </c>
      <c r="G3" s="1">
        <v>59.73</v>
      </c>
    </row>
    <row r="4" spans="1:7" x14ac:dyDescent="0.25">
      <c r="A4" s="1" t="s">
        <v>8</v>
      </c>
      <c r="B4" s="1">
        <v>26300.639999999999</v>
      </c>
      <c r="C4" s="1">
        <v>28664.7</v>
      </c>
      <c r="D4" s="1">
        <v>28764</v>
      </c>
      <c r="E4" s="1">
        <v>27933.31</v>
      </c>
      <c r="F4" s="1">
        <v>31986.080000000002</v>
      </c>
      <c r="G4" s="1">
        <v>29537.040000000001</v>
      </c>
    </row>
    <row r="5" spans="1:7" x14ac:dyDescent="0.25">
      <c r="A5" s="1" t="s">
        <v>9</v>
      </c>
      <c r="B5" s="1">
        <v>1550.81</v>
      </c>
      <c r="C5" s="1">
        <v>1093.93</v>
      </c>
      <c r="D5" s="1">
        <v>1955.3</v>
      </c>
      <c r="E5" s="1">
        <v>1831.53</v>
      </c>
      <c r="F5" s="1">
        <v>1905.83</v>
      </c>
      <c r="G5" s="1">
        <v>1843.73</v>
      </c>
    </row>
    <row r="6" spans="1:7" x14ac:dyDescent="0.25">
      <c r="A6" s="3" t="s">
        <v>10</v>
      </c>
      <c r="B6" s="3">
        <v>155.08000000000001</v>
      </c>
      <c r="C6" s="3">
        <v>110.5</v>
      </c>
      <c r="D6" s="3">
        <v>197.51</v>
      </c>
      <c r="E6" s="3">
        <v>185</v>
      </c>
      <c r="F6" s="3">
        <v>192.51</v>
      </c>
      <c r="G6" s="3">
        <v>188.14</v>
      </c>
    </row>
    <row r="7" spans="1:7" x14ac:dyDescent="0.25">
      <c r="A7" s="1" t="s">
        <v>11</v>
      </c>
      <c r="B7" s="1">
        <v>1409.02</v>
      </c>
      <c r="C7" s="1">
        <v>1029.77</v>
      </c>
      <c r="D7" s="1">
        <v>1815.19</v>
      </c>
      <c r="E7" s="1">
        <v>1685.44</v>
      </c>
      <c r="F7" s="1">
        <v>1779.47</v>
      </c>
      <c r="G7" s="1">
        <v>1728.11</v>
      </c>
    </row>
    <row r="8" spans="1:7" x14ac:dyDescent="0.25">
      <c r="A8" s="1" t="s">
        <v>12</v>
      </c>
      <c r="B8" s="1">
        <v>140.9</v>
      </c>
      <c r="C8" s="1">
        <v>104.02</v>
      </c>
      <c r="D8" s="1">
        <v>183.35</v>
      </c>
      <c r="E8" s="1">
        <v>170.25</v>
      </c>
      <c r="F8" s="1">
        <v>179.74</v>
      </c>
      <c r="G8" s="1">
        <v>176.34</v>
      </c>
    </row>
    <row r="9" spans="1:7" x14ac:dyDescent="0.25">
      <c r="A9" s="1" t="s">
        <v>13</v>
      </c>
      <c r="B9" s="1">
        <v>1381.74</v>
      </c>
      <c r="C9" s="1">
        <v>1028.69</v>
      </c>
      <c r="D9" s="1">
        <v>1815.19</v>
      </c>
      <c r="E9" s="1">
        <v>1685.44</v>
      </c>
      <c r="F9" s="1">
        <v>1779.47</v>
      </c>
      <c r="G9" s="1">
        <v>1728.11</v>
      </c>
    </row>
    <row r="10" spans="1:7" x14ac:dyDescent="0.25">
      <c r="A10" s="1" t="s">
        <v>14</v>
      </c>
      <c r="B10" s="1">
        <v>138.16999999999999</v>
      </c>
      <c r="C10" s="1">
        <v>103.91</v>
      </c>
      <c r="D10" s="1">
        <v>183.35</v>
      </c>
      <c r="E10" s="1">
        <v>170.25</v>
      </c>
      <c r="F10" s="1">
        <v>179.74</v>
      </c>
      <c r="G10" s="1">
        <v>176.34</v>
      </c>
    </row>
    <row r="11" spans="1:7" x14ac:dyDescent="0.25">
      <c r="A11" s="1" t="s">
        <v>15</v>
      </c>
      <c r="B11" s="1">
        <v>166.95</v>
      </c>
      <c r="C11" s="1">
        <v>736.37</v>
      </c>
      <c r="D11" s="1">
        <v>1577.69</v>
      </c>
      <c r="E11" s="1">
        <v>1173.95</v>
      </c>
      <c r="F11" s="1">
        <v>1482.32</v>
      </c>
      <c r="G11" s="1">
        <v>1532.71</v>
      </c>
    </row>
    <row r="12" spans="1:7" x14ac:dyDescent="0.25">
      <c r="A12" s="1" t="s">
        <v>16</v>
      </c>
      <c r="B12" s="1">
        <v>220.32</v>
      </c>
      <c r="C12" s="1">
        <v>218.69</v>
      </c>
      <c r="D12" s="1">
        <v>260.36</v>
      </c>
      <c r="E12" s="1">
        <v>248.4</v>
      </c>
      <c r="F12" s="1">
        <v>242.41</v>
      </c>
      <c r="G12" s="1">
        <v>243.51</v>
      </c>
    </row>
    <row r="13" spans="1:7" x14ac:dyDescent="0.25">
      <c r="A13" s="1" t="s">
        <v>17</v>
      </c>
      <c r="B13" s="1">
        <v>43.64</v>
      </c>
      <c r="C13" s="1">
        <v>39.82</v>
      </c>
      <c r="D13" s="1">
        <v>38.53</v>
      </c>
      <c r="E13" s="1">
        <v>37.340000000000003</v>
      </c>
      <c r="F13" s="1">
        <v>40.36</v>
      </c>
      <c r="G13" s="1">
        <v>35.79</v>
      </c>
    </row>
    <row r="14" spans="1:7" x14ac:dyDescent="0.25">
      <c r="A14" s="1" t="s">
        <v>18</v>
      </c>
      <c r="B14" s="1">
        <v>88.26</v>
      </c>
      <c r="C14" s="1">
        <v>88.1</v>
      </c>
      <c r="D14" s="1">
        <v>77.58</v>
      </c>
      <c r="E14" s="1">
        <v>87.58</v>
      </c>
      <c r="F14" s="1">
        <v>93.08</v>
      </c>
      <c r="G14" s="1">
        <v>77.72</v>
      </c>
    </row>
    <row r="15" spans="1:7" x14ac:dyDescent="0.25">
      <c r="A15" s="1" t="s">
        <v>19</v>
      </c>
      <c r="B15" s="1">
        <v>6</v>
      </c>
      <c r="C15" s="1">
        <v>8</v>
      </c>
      <c r="D15" s="1">
        <v>8</v>
      </c>
      <c r="E15" s="1">
        <v>6</v>
      </c>
      <c r="F15" s="1">
        <v>8</v>
      </c>
      <c r="G15" s="1">
        <v>8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1395.38</v>
      </c>
      <c r="C17" s="1">
        <v>1029.23</v>
      </c>
      <c r="D17" s="1">
        <v>1815.19</v>
      </c>
      <c r="E17" s="1">
        <v>1685.44</v>
      </c>
      <c r="F17" s="1">
        <v>1779.47</v>
      </c>
      <c r="G17" s="1">
        <v>1728.11</v>
      </c>
    </row>
    <row r="18" spans="1:7" x14ac:dyDescent="0.25">
      <c r="A18" s="1" t="s">
        <v>22</v>
      </c>
      <c r="B18" s="1">
        <v>13.64</v>
      </c>
      <c r="C18" s="1">
        <v>0.54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146.79</v>
      </c>
      <c r="C33" s="3">
        <v>110.28</v>
      </c>
      <c r="D33" s="3">
        <v>192.86</v>
      </c>
      <c r="E33" s="3">
        <v>182.38</v>
      </c>
      <c r="F33" s="3">
        <v>188.75</v>
      </c>
      <c r="G33" s="3">
        <v>184.76</v>
      </c>
    </row>
    <row r="35" spans="1:7" x14ac:dyDescent="0.25">
      <c r="A35" s="3" t="s">
        <v>36</v>
      </c>
      <c r="B35" s="3"/>
      <c r="C35" s="3"/>
      <c r="D35" s="3">
        <f>D33-C33</f>
        <v>82.580000000000013</v>
      </c>
      <c r="E35" s="3"/>
      <c r="F35" s="3">
        <f>F33-E33</f>
        <v>6.3700000000000045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-10.480000000000018</v>
      </c>
      <c r="F37" s="3"/>
      <c r="G37" s="3">
        <f>G33-F33</f>
        <v>-3.9900000000000091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B340-8DF2-44CF-8660-8B4E47E51218}">
  <dimension ref="A1:G37"/>
  <sheetViews>
    <sheetView tabSelected="1" zoomScale="80" zoomScaleNormal="80" workbookViewId="0">
      <selection activeCell="L27" sqref="L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473.54</v>
      </c>
      <c r="C2" s="1">
        <v>482.46</v>
      </c>
      <c r="D2" s="1">
        <v>484.16</v>
      </c>
      <c r="E2" s="1">
        <v>432.54</v>
      </c>
      <c r="F2" s="1">
        <v>441.8</v>
      </c>
      <c r="G2" s="1">
        <v>467.74</v>
      </c>
    </row>
    <row r="3" spans="1:7" x14ac:dyDescent="0.25">
      <c r="A3" s="1" t="s">
        <v>7</v>
      </c>
      <c r="B3" s="1">
        <v>51.62</v>
      </c>
      <c r="C3" s="1">
        <v>54.27</v>
      </c>
      <c r="D3" s="1">
        <v>55.5</v>
      </c>
      <c r="E3" s="1">
        <v>56.06</v>
      </c>
      <c r="F3" s="1">
        <v>56.1</v>
      </c>
      <c r="G3" s="1">
        <v>64.69</v>
      </c>
    </row>
    <row r="4" spans="1:7" x14ac:dyDescent="0.25">
      <c r="A4" s="1" t="s">
        <v>8</v>
      </c>
      <c r="B4" s="1">
        <v>24846.67</v>
      </c>
      <c r="C4" s="1">
        <v>26609.27</v>
      </c>
      <c r="D4" s="1">
        <v>27318.92</v>
      </c>
      <c r="E4" s="1">
        <v>24625.19</v>
      </c>
      <c r="F4" s="1">
        <v>25176.98</v>
      </c>
      <c r="G4" s="1">
        <v>30784.49</v>
      </c>
    </row>
    <row r="5" spans="1:7" x14ac:dyDescent="0.25">
      <c r="A5" s="1" t="s">
        <v>9</v>
      </c>
      <c r="B5" s="1">
        <v>1656.01</v>
      </c>
      <c r="C5" s="1">
        <v>2315.88</v>
      </c>
      <c r="D5" s="1">
        <v>1143.46</v>
      </c>
      <c r="E5" s="1">
        <v>1024.28</v>
      </c>
      <c r="F5" s="1">
        <v>2279.2800000000002</v>
      </c>
      <c r="G5" s="1">
        <v>3330.15</v>
      </c>
    </row>
    <row r="6" spans="1:7" x14ac:dyDescent="0.25">
      <c r="A6" s="3" t="s">
        <v>10</v>
      </c>
      <c r="B6" s="3">
        <v>165.6</v>
      </c>
      <c r="C6" s="3">
        <v>233.93</v>
      </c>
      <c r="D6" s="3">
        <v>115.5</v>
      </c>
      <c r="E6" s="3">
        <v>103.46</v>
      </c>
      <c r="F6" s="3">
        <v>230.23</v>
      </c>
      <c r="G6" s="3">
        <v>339.81</v>
      </c>
    </row>
    <row r="7" spans="1:7" x14ac:dyDescent="0.25">
      <c r="A7" s="1" t="s">
        <v>11</v>
      </c>
      <c r="B7" s="1">
        <v>1582.3</v>
      </c>
      <c r="C7" s="1">
        <v>2247.19</v>
      </c>
      <c r="D7" s="1">
        <v>1124.2</v>
      </c>
      <c r="E7" s="1">
        <v>976.52</v>
      </c>
      <c r="F7" s="1">
        <v>2120.12</v>
      </c>
      <c r="G7" s="1">
        <v>3024.61</v>
      </c>
    </row>
    <row r="8" spans="1:7" x14ac:dyDescent="0.25">
      <c r="A8" s="1" t="s">
        <v>12</v>
      </c>
      <c r="B8" s="1">
        <v>158.22999999999999</v>
      </c>
      <c r="C8" s="1">
        <v>226.99</v>
      </c>
      <c r="D8" s="1">
        <v>113.56</v>
      </c>
      <c r="E8" s="1">
        <v>98.64</v>
      </c>
      <c r="F8" s="1">
        <v>214.15</v>
      </c>
      <c r="G8" s="1">
        <v>308.63</v>
      </c>
    </row>
    <row r="9" spans="1:7" x14ac:dyDescent="0.25">
      <c r="A9" s="1" t="s">
        <v>13</v>
      </c>
      <c r="B9" s="1">
        <v>1582.3</v>
      </c>
      <c r="C9" s="1">
        <v>2247.19</v>
      </c>
      <c r="D9" s="1">
        <v>1092.0999999999999</v>
      </c>
      <c r="E9" s="1">
        <v>976.52</v>
      </c>
      <c r="F9" s="1">
        <v>2120.12</v>
      </c>
      <c r="G9" s="1">
        <v>3024.61</v>
      </c>
    </row>
    <row r="10" spans="1:7" x14ac:dyDescent="0.25">
      <c r="A10" s="1" t="s">
        <v>14</v>
      </c>
      <c r="B10" s="1">
        <v>158.22999999999999</v>
      </c>
      <c r="C10" s="1">
        <v>226.99</v>
      </c>
      <c r="D10" s="1">
        <v>110.31</v>
      </c>
      <c r="E10" s="1">
        <v>98.64</v>
      </c>
      <c r="F10" s="1">
        <v>214.15</v>
      </c>
      <c r="G10" s="1">
        <v>308.63</v>
      </c>
    </row>
    <row r="11" spans="1:7" x14ac:dyDescent="0.25">
      <c r="A11" s="1" t="s">
        <v>15</v>
      </c>
      <c r="B11" s="1">
        <v>1344.37</v>
      </c>
      <c r="C11" s="1">
        <v>1916.91</v>
      </c>
      <c r="D11" s="1">
        <v>884.56</v>
      </c>
      <c r="E11" s="1">
        <v>794.12</v>
      </c>
      <c r="F11" s="1">
        <v>1955.83</v>
      </c>
      <c r="G11" s="1">
        <v>3034.45</v>
      </c>
    </row>
    <row r="12" spans="1:7" x14ac:dyDescent="0.25">
      <c r="A12" s="1" t="s">
        <v>16</v>
      </c>
      <c r="B12" s="1">
        <v>266.16000000000003</v>
      </c>
      <c r="C12" s="1">
        <v>294.22000000000003</v>
      </c>
      <c r="D12" s="1">
        <v>247.07</v>
      </c>
      <c r="E12" s="1">
        <v>234.37</v>
      </c>
      <c r="F12" s="1">
        <v>271.42</v>
      </c>
      <c r="G12" s="1">
        <v>282.63</v>
      </c>
    </row>
    <row r="13" spans="1:7" x14ac:dyDescent="0.25">
      <c r="A13" s="1" t="s">
        <v>17</v>
      </c>
      <c r="B13" s="1">
        <v>29.1</v>
      </c>
      <c r="C13" s="1">
        <v>41.07</v>
      </c>
      <c r="D13" s="1">
        <v>26.65</v>
      </c>
      <c r="E13" s="1">
        <v>34.840000000000003</v>
      </c>
      <c r="F13" s="1">
        <v>29.32</v>
      </c>
      <c r="G13" s="1">
        <v>28.51</v>
      </c>
    </row>
    <row r="14" spans="1:7" x14ac:dyDescent="0.25">
      <c r="A14" s="1" t="s">
        <v>18</v>
      </c>
      <c r="B14" s="1">
        <v>69.67</v>
      </c>
      <c r="C14" s="1">
        <v>73.14</v>
      </c>
      <c r="D14" s="1">
        <v>64.709999999999994</v>
      </c>
      <c r="E14" s="1">
        <v>61.2</v>
      </c>
      <c r="F14" s="1">
        <v>69.45</v>
      </c>
      <c r="G14" s="1">
        <v>62.61</v>
      </c>
    </row>
    <row r="15" spans="1:7" x14ac:dyDescent="0.25">
      <c r="A15" s="1" t="s">
        <v>19</v>
      </c>
      <c r="B15" s="1">
        <v>7</v>
      </c>
      <c r="C15" s="1">
        <v>11</v>
      </c>
      <c r="D15" s="1">
        <v>5</v>
      </c>
      <c r="E15" s="1">
        <v>7</v>
      </c>
      <c r="F15" s="1">
        <v>7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1582.3</v>
      </c>
      <c r="C17" s="1">
        <v>2247.19</v>
      </c>
      <c r="D17" s="1">
        <v>1108.1500000000001</v>
      </c>
      <c r="E17" s="1">
        <v>976.52</v>
      </c>
      <c r="F17" s="1">
        <v>2120.12</v>
      </c>
      <c r="G17" s="1">
        <v>3024.61</v>
      </c>
    </row>
    <row r="18" spans="1:7" x14ac:dyDescent="0.25">
      <c r="A18" s="1" t="s">
        <v>22</v>
      </c>
      <c r="B18" s="1">
        <v>0</v>
      </c>
      <c r="C18" s="1">
        <v>0</v>
      </c>
      <c r="D18" s="1">
        <v>16.05</v>
      </c>
      <c r="E18" s="1">
        <v>0</v>
      </c>
      <c r="F18" s="1">
        <v>0</v>
      </c>
      <c r="G18" s="1">
        <v>0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160.47</v>
      </c>
      <c r="C33" s="3">
        <v>233.4</v>
      </c>
      <c r="D33" s="3">
        <v>110.15</v>
      </c>
      <c r="E33" s="3">
        <v>101.4</v>
      </c>
      <c r="F33" s="3">
        <v>222.84</v>
      </c>
      <c r="G33" s="3">
        <v>333.13</v>
      </c>
    </row>
    <row r="35" spans="1:7" x14ac:dyDescent="0.25">
      <c r="A35" s="3" t="s">
        <v>36</v>
      </c>
      <c r="B35" s="3"/>
      <c r="C35" s="3"/>
      <c r="D35" s="3">
        <f>D33-C33</f>
        <v>-123.25</v>
      </c>
      <c r="E35" s="3"/>
      <c r="F35" s="3">
        <f>F33-E33</f>
        <v>121.44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-8.75</v>
      </c>
      <c r="F37" s="3"/>
      <c r="G37" s="3">
        <f>G33-F33</f>
        <v>110.28999999999999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5CD5-AF07-4C7E-B989-F2BE0E7F3C39}">
  <dimension ref="A1:G37"/>
  <sheetViews>
    <sheetView zoomScale="80" zoomScaleNormal="80" workbookViewId="0">
      <selection activeCell="K31" sqref="K31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240724B001.1</vt:lpstr>
      <vt:lpstr>240724B001.2</vt:lpstr>
      <vt:lpstr>240724B001.3</vt:lpstr>
      <vt:lpstr>240724B001.4</vt:lpstr>
      <vt:lpstr>240724B002.1</vt:lpstr>
      <vt:lpstr>240724B002.2</vt:lpstr>
      <vt:lpstr>240724B002.3</vt:lpstr>
      <vt:lpstr>240724B003.1</vt:lpstr>
      <vt:lpstr>240724B003.2</vt:lpstr>
      <vt:lpstr>240724B003.4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2024-07-30T22:29:23Z</dcterms:created>
  <dcterms:modified xsi:type="dcterms:W3CDTF">2024-07-31T19:49:15Z</dcterms:modified>
</cp:coreProperties>
</file>