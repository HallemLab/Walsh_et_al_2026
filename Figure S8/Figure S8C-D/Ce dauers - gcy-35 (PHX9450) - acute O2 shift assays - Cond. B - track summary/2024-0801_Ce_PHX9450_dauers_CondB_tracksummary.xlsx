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450\2024-0801\WormLab Data\"/>
    </mc:Choice>
  </mc:AlternateContent>
  <xr:revisionPtr revIDLastSave="0" documentId="13_ncr:1_{ED6B2CB0-F5B4-4667-8218-16E88F46D0B8}" xr6:coauthVersionLast="36" xr6:coauthVersionMax="36" xr10:uidLastSave="{00000000-0000-0000-0000-000000000000}"/>
  <bookViews>
    <workbookView xWindow="0" yWindow="0" windowWidth="24360" windowHeight="10935" firstSheet="1" activeTab="7" xr2:uid="{57C154E4-F447-4AA5-9B30-CE39C424526A}"/>
  </bookViews>
  <sheets>
    <sheet name="240801B001.1" sheetId="2" r:id="rId1"/>
    <sheet name="240801B001.2" sheetId="3" r:id="rId2"/>
    <sheet name="240801B001.3" sheetId="4" r:id="rId3"/>
    <sheet name="240801B002.1" sheetId="5" r:id="rId4"/>
    <sheet name="240801B002.2" sheetId="6" r:id="rId5"/>
    <sheet name="240801B002.3" sheetId="7" r:id="rId6"/>
    <sheet name="240801B003.3" sheetId="8" r:id="rId7"/>
    <sheet name="240801B003.4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E31" i="9"/>
  <c r="G28" i="9"/>
  <c r="G31" i="9" s="1"/>
  <c r="F28" i="9"/>
  <c r="F31" i="9" s="1"/>
  <c r="E28" i="9"/>
  <c r="E29" i="9" s="1"/>
  <c r="D28" i="9"/>
  <c r="D29" i="9" s="1"/>
  <c r="C28" i="9"/>
  <c r="C29" i="9" s="1"/>
  <c r="B28" i="9"/>
  <c r="B29" i="9" s="1"/>
  <c r="G37" i="8"/>
  <c r="E37" i="8"/>
  <c r="C37" i="8"/>
  <c r="F35" i="8"/>
  <c r="D35" i="8"/>
  <c r="G28" i="8"/>
  <c r="G31" i="8" s="1"/>
  <c r="F28" i="8"/>
  <c r="F31" i="8" s="1"/>
  <c r="E28" i="8"/>
  <c r="E31" i="8" s="1"/>
  <c r="D28" i="8"/>
  <c r="D29" i="8" s="1"/>
  <c r="C28" i="8"/>
  <c r="C29" i="8" s="1"/>
  <c r="B28" i="8"/>
  <c r="B29" i="8" s="1"/>
  <c r="G37" i="7"/>
  <c r="E37" i="7"/>
  <c r="C37" i="7"/>
  <c r="F35" i="7"/>
  <c r="D35" i="7"/>
  <c r="B31" i="7"/>
  <c r="D30" i="7"/>
  <c r="C30" i="7"/>
  <c r="B30" i="7"/>
  <c r="D29" i="7"/>
  <c r="G28" i="7"/>
  <c r="G31" i="7" s="1"/>
  <c r="F28" i="7"/>
  <c r="F31" i="7" s="1"/>
  <c r="E28" i="7"/>
  <c r="E31" i="7" s="1"/>
  <c r="D28" i="7"/>
  <c r="D31" i="7" s="1"/>
  <c r="C28" i="7"/>
  <c r="C29" i="7" s="1"/>
  <c r="B28" i="7"/>
  <c r="B29" i="7" s="1"/>
  <c r="G37" i="6"/>
  <c r="E37" i="6"/>
  <c r="C37" i="6"/>
  <c r="F35" i="6"/>
  <c r="D35" i="6"/>
  <c r="G28" i="6"/>
  <c r="G31" i="6" s="1"/>
  <c r="F28" i="6"/>
  <c r="F31" i="6" s="1"/>
  <c r="E28" i="6"/>
  <c r="E31" i="6" s="1"/>
  <c r="D28" i="6"/>
  <c r="D29" i="6" s="1"/>
  <c r="C28" i="6"/>
  <c r="C29" i="6" s="1"/>
  <c r="B28" i="6"/>
  <c r="B29" i="6" s="1"/>
  <c r="G37" i="5"/>
  <c r="E37" i="5"/>
  <c r="C37" i="5"/>
  <c r="F35" i="5"/>
  <c r="D35" i="5"/>
  <c r="C31" i="5"/>
  <c r="B31" i="5"/>
  <c r="C30" i="5"/>
  <c r="B30" i="5"/>
  <c r="F29" i="5"/>
  <c r="G28" i="5"/>
  <c r="G31" i="5" s="1"/>
  <c r="F28" i="5"/>
  <c r="F31" i="5" s="1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F31" i="4"/>
  <c r="D31" i="4"/>
  <c r="C31" i="4"/>
  <c r="B31" i="4"/>
  <c r="F30" i="4"/>
  <c r="E30" i="4"/>
  <c r="D30" i="4"/>
  <c r="C30" i="4"/>
  <c r="B30" i="4"/>
  <c r="F29" i="4"/>
  <c r="E29" i="4"/>
  <c r="G28" i="4"/>
  <c r="G31" i="4" s="1"/>
  <c r="F28" i="4"/>
  <c r="E28" i="4"/>
  <c r="E31" i="4" s="1"/>
  <c r="D28" i="4"/>
  <c r="D29" i="4" s="1"/>
  <c r="C28" i="4"/>
  <c r="C29" i="4" s="1"/>
  <c r="B28" i="4"/>
  <c r="B29" i="4" s="1"/>
  <c r="B29" i="3"/>
  <c r="G37" i="3"/>
  <c r="E37" i="3"/>
  <c r="C37" i="3"/>
  <c r="F35" i="3"/>
  <c r="D35" i="3"/>
  <c r="F31" i="3"/>
  <c r="E31" i="3"/>
  <c r="D31" i="3"/>
  <c r="C31" i="3"/>
  <c r="B31" i="3"/>
  <c r="G30" i="3"/>
  <c r="F30" i="3"/>
  <c r="E30" i="3"/>
  <c r="D30" i="3"/>
  <c r="C30" i="3"/>
  <c r="B30" i="3"/>
  <c r="F29" i="3"/>
  <c r="E29" i="3"/>
  <c r="G28" i="3"/>
  <c r="G31" i="3" s="1"/>
  <c r="F28" i="3"/>
  <c r="E28" i="3"/>
  <c r="D28" i="3"/>
  <c r="D29" i="3" s="1"/>
  <c r="C28" i="3"/>
  <c r="C29" i="3" s="1"/>
  <c r="B28" i="3"/>
  <c r="G37" i="2"/>
  <c r="E37" i="2"/>
  <c r="C37" i="2"/>
  <c r="F35" i="2"/>
  <c r="D35" i="2"/>
  <c r="E31" i="2"/>
  <c r="D31" i="2"/>
  <c r="C31" i="2"/>
  <c r="B31" i="2"/>
  <c r="F30" i="2"/>
  <c r="E30" i="2"/>
  <c r="D30" i="2"/>
  <c r="C30" i="2"/>
  <c r="B30" i="2"/>
  <c r="G29" i="2"/>
  <c r="F29" i="2"/>
  <c r="E29" i="2"/>
  <c r="D29" i="2"/>
  <c r="C29" i="2"/>
  <c r="G28" i="2"/>
  <c r="G31" i="2" s="1"/>
  <c r="F28" i="2"/>
  <c r="F31" i="2" s="1"/>
  <c r="E28" i="2"/>
  <c r="D28" i="2"/>
  <c r="C28" i="2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F29" i="9" l="1"/>
  <c r="G29" i="9"/>
  <c r="D30" i="9"/>
  <c r="E30" i="9"/>
  <c r="B30" i="9"/>
  <c r="C31" i="9"/>
  <c r="C30" i="9"/>
  <c r="D31" i="9"/>
  <c r="F30" i="9"/>
  <c r="G30" i="9"/>
  <c r="B31" i="9"/>
  <c r="B30" i="8"/>
  <c r="E29" i="8"/>
  <c r="F30" i="8"/>
  <c r="C30" i="8"/>
  <c r="D30" i="8"/>
  <c r="G29" i="8"/>
  <c r="C31" i="8"/>
  <c r="F29" i="8"/>
  <c r="E30" i="8"/>
  <c r="G30" i="8"/>
  <c r="B31" i="8"/>
  <c r="D31" i="8"/>
  <c r="G29" i="7"/>
  <c r="E30" i="7"/>
  <c r="E29" i="7"/>
  <c r="F30" i="7"/>
  <c r="G30" i="7"/>
  <c r="F29" i="7"/>
  <c r="C31" i="7"/>
  <c r="E29" i="6"/>
  <c r="F29" i="6"/>
  <c r="G29" i="6"/>
  <c r="B30" i="6"/>
  <c r="C30" i="6"/>
  <c r="E30" i="6"/>
  <c r="D30" i="6"/>
  <c r="B31" i="6"/>
  <c r="F30" i="6"/>
  <c r="G30" i="6"/>
  <c r="C31" i="6"/>
  <c r="D31" i="6"/>
  <c r="G29" i="5"/>
  <c r="D30" i="5"/>
  <c r="E29" i="5"/>
  <c r="F30" i="5"/>
  <c r="E30" i="5"/>
  <c r="G30" i="5"/>
  <c r="D31" i="5"/>
  <c r="G30" i="4"/>
  <c r="G29" i="4"/>
  <c r="G29" i="3"/>
  <c r="G30" i="2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<sst xmlns="http://schemas.openxmlformats.org/spreadsheetml/2006/main" count="342" uniqueCount="37">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</sst>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5232-2F97-4FF7-B80C-C123DCDE8B40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416.33</v>
      </c>
      <c r="C2" s="1">
        <v>397.35</v>
      </c>
      <c r="D2" s="1">
        <v>430.3</v>
      </c>
      <c r="E2" s="1">
        <v>398.94</v>
      </c>
      <c r="F2" s="1">
        <v>390.06</v>
      </c>
      <c r="G2" s="1">
        <v>402.11</v>
      </c>
    </row>
    <row r="3" spans="1:7" x14ac:dyDescent="0.25">
      <c r="A3" s="1" t="s">
        <v>7</v>
      </c>
      <c r="B3" s="1">
        <v>42.29</v>
      </c>
      <c r="C3" s="1">
        <v>43.79</v>
      </c>
      <c r="D3" s="1">
        <v>44.57</v>
      </c>
      <c r="E3" s="1">
        <v>43.05</v>
      </c>
      <c r="F3" s="1">
        <v>41.17</v>
      </c>
      <c r="G3" s="1">
        <v>42.56</v>
      </c>
    </row>
    <row r="4" spans="1:7" x14ac:dyDescent="0.25">
      <c r="A4" s="1" t="s">
        <v>8</v>
      </c>
      <c r="B4" s="1">
        <v>17901.48</v>
      </c>
      <c r="C4" s="1">
        <v>17564.07</v>
      </c>
      <c r="D4" s="1">
        <v>19472.009999999998</v>
      </c>
      <c r="E4" s="1">
        <v>17478.75</v>
      </c>
      <c r="F4" s="1">
        <v>16304.9</v>
      </c>
      <c r="G4" s="1">
        <v>17376.78</v>
      </c>
    </row>
    <row r="5" spans="1:7" x14ac:dyDescent="0.25">
      <c r="A5" s="1" t="s">
        <v>9</v>
      </c>
      <c r="B5" s="1">
        <v>1442.31</v>
      </c>
      <c r="C5" s="1">
        <v>2398.4699999999998</v>
      </c>
      <c r="D5" s="1">
        <v>1952.46</v>
      </c>
      <c r="E5" s="1">
        <v>1202.67</v>
      </c>
      <c r="F5" s="1">
        <v>1485.36</v>
      </c>
      <c r="G5" s="1">
        <v>1327.58</v>
      </c>
    </row>
    <row r="6" spans="1:7" x14ac:dyDescent="0.25">
      <c r="A6" s="3" t="s">
        <v>10</v>
      </c>
      <c r="B6" s="3">
        <v>144.22999999999999</v>
      </c>
      <c r="C6" s="3">
        <v>242.27</v>
      </c>
      <c r="D6" s="3">
        <v>197.22</v>
      </c>
      <c r="E6" s="3">
        <v>121.48</v>
      </c>
      <c r="F6" s="3">
        <v>150.04</v>
      </c>
      <c r="G6" s="3">
        <v>135.47</v>
      </c>
    </row>
    <row r="7" spans="1:7" x14ac:dyDescent="0.25">
      <c r="A7" s="1" t="s">
        <v>11</v>
      </c>
      <c r="B7" s="1">
        <v>1393.49</v>
      </c>
      <c r="C7" s="1">
        <v>2180.37</v>
      </c>
      <c r="D7" s="1">
        <v>1849.36</v>
      </c>
      <c r="E7" s="1">
        <v>1145.32</v>
      </c>
      <c r="F7" s="1">
        <v>1417.55</v>
      </c>
      <c r="G7" s="1">
        <v>1253.22</v>
      </c>
    </row>
    <row r="8" spans="1:7" x14ac:dyDescent="0.25">
      <c r="A8" s="1" t="s">
        <v>12</v>
      </c>
      <c r="B8" s="1">
        <v>139.35</v>
      </c>
      <c r="C8" s="1">
        <v>220.24</v>
      </c>
      <c r="D8" s="1">
        <v>186.8</v>
      </c>
      <c r="E8" s="1">
        <v>115.69</v>
      </c>
      <c r="F8" s="1">
        <v>143.19</v>
      </c>
      <c r="G8" s="1">
        <v>127.88</v>
      </c>
    </row>
    <row r="9" spans="1:7" x14ac:dyDescent="0.25">
      <c r="A9" s="1" t="s">
        <v>13</v>
      </c>
      <c r="B9" s="1">
        <v>1366.74</v>
      </c>
      <c r="C9" s="1">
        <v>2180.37</v>
      </c>
      <c r="D9" s="1">
        <v>1837.9</v>
      </c>
      <c r="E9" s="1">
        <v>1145.32</v>
      </c>
      <c r="F9" s="1">
        <v>1417.55</v>
      </c>
      <c r="G9" s="1">
        <v>1253.22</v>
      </c>
    </row>
    <row r="10" spans="1:7" x14ac:dyDescent="0.25">
      <c r="A10" s="1" t="s">
        <v>14</v>
      </c>
      <c r="B10" s="1">
        <v>136.66999999999999</v>
      </c>
      <c r="C10" s="1">
        <v>220.24</v>
      </c>
      <c r="D10" s="1">
        <v>185.65</v>
      </c>
      <c r="E10" s="1">
        <v>115.69</v>
      </c>
      <c r="F10" s="1">
        <v>143.19</v>
      </c>
      <c r="G10" s="1">
        <v>127.88</v>
      </c>
    </row>
    <row r="11" spans="1:7" x14ac:dyDescent="0.25">
      <c r="A11" s="1" t="s">
        <v>15</v>
      </c>
      <c r="B11" s="1">
        <v>1143.48</v>
      </c>
      <c r="C11" s="1">
        <v>2130.66</v>
      </c>
      <c r="D11" s="1">
        <v>1653.36</v>
      </c>
      <c r="E11" s="1">
        <v>1006.77</v>
      </c>
      <c r="F11" s="1">
        <v>1298.48</v>
      </c>
      <c r="G11" s="1">
        <v>1165.8699999999999</v>
      </c>
    </row>
    <row r="12" spans="1:7" x14ac:dyDescent="0.25">
      <c r="A12" s="1" t="s">
        <v>16</v>
      </c>
      <c r="B12" s="1">
        <v>243.5</v>
      </c>
      <c r="C12" s="1">
        <v>248.55</v>
      </c>
      <c r="D12" s="1">
        <v>250.58</v>
      </c>
      <c r="E12" s="1">
        <v>259.22000000000003</v>
      </c>
      <c r="F12" s="1">
        <v>246.82</v>
      </c>
      <c r="G12" s="1">
        <v>253.42</v>
      </c>
    </row>
    <row r="13" spans="1:7" x14ac:dyDescent="0.25">
      <c r="A13" s="1" t="s">
        <v>17</v>
      </c>
      <c r="B13" s="1">
        <v>31.05</v>
      </c>
      <c r="C13" s="1">
        <v>26.33</v>
      </c>
      <c r="D13" s="1">
        <v>33.409999999999997</v>
      </c>
      <c r="E13" s="1">
        <v>26.08</v>
      </c>
      <c r="F13" s="1">
        <v>22.46</v>
      </c>
      <c r="G13" s="1">
        <v>22.08</v>
      </c>
    </row>
    <row r="14" spans="1:7" x14ac:dyDescent="0.25">
      <c r="A14" s="1" t="s">
        <v>18</v>
      </c>
      <c r="B14" s="1">
        <v>71.19</v>
      </c>
      <c r="C14" s="1">
        <v>62.03</v>
      </c>
      <c r="D14" s="1">
        <v>66.5</v>
      </c>
      <c r="E14" s="1">
        <v>56.23</v>
      </c>
      <c r="F14" s="1">
        <v>48.77</v>
      </c>
      <c r="G14" s="1">
        <v>51.71</v>
      </c>
    </row>
    <row r="15" spans="1:7" x14ac:dyDescent="0.25">
      <c r="A15" s="1" t="s">
        <v>19</v>
      </c>
      <c r="B15" s="1">
        <v>8</v>
      </c>
      <c r="C15" s="1">
        <v>11</v>
      </c>
      <c r="D15" s="1">
        <v>11</v>
      </c>
      <c r="E15" s="1">
        <v>8</v>
      </c>
      <c r="F15" s="1">
        <v>10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1380.11</v>
      </c>
      <c r="C17" s="1">
        <v>2180.37</v>
      </c>
      <c r="D17" s="1">
        <v>1843.63</v>
      </c>
      <c r="E17" s="1">
        <v>1145.32</v>
      </c>
      <c r="F17" s="1">
        <v>1417.55</v>
      </c>
      <c r="G17" s="1">
        <v>1253.22</v>
      </c>
    </row>
    <row r="18" spans="1:7" x14ac:dyDescent="0.25">
      <c r="A18" s="1" t="s">
        <v>22</v>
      </c>
      <c r="B18" s="1">
        <v>13.37</v>
      </c>
      <c r="C18" s="1">
        <v>0</v>
      </c>
      <c r="D18" s="1">
        <v>5.73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139.19999999999999</v>
      </c>
      <c r="C33" s="3">
        <v>233.59</v>
      </c>
      <c r="D33" s="3">
        <v>198.33</v>
      </c>
      <c r="E33" s="3">
        <v>121.26</v>
      </c>
      <c r="F33" s="3">
        <v>147.19</v>
      </c>
      <c r="G33" s="3">
        <v>134.37</v>
      </c>
    </row>
    <row r="35" spans="1:7" x14ac:dyDescent="0.25">
      <c r="A35" s="3" t="s">
        <v>36</v>
      </c>
      <c r="B35" s="3"/>
      <c r="C35" s="3"/>
      <c r="D35" s="3">
        <f>D33-C33</f>
        <v>-35.259999999999991</v>
      </c>
      <c r="E35" s="3"/>
      <c r="F35" s="3">
        <f>F33-E33</f>
        <v>25.929999999999993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-77.070000000000007</v>
      </c>
      <c r="F37" s="3"/>
      <c r="G37" s="3">
        <f>G33-F33</f>
        <v>-12.819999999999993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3F4A-D1B6-4D21-BCF3-1AA513DC29FC}">
  <dimension ref="A1:G37"/>
  <sheetViews>
    <sheetView zoomScale="90" zoomScaleNormal="90" workbookViewId="0">
      <selection activeCell="A38" sqref="A3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415.38</v>
      </c>
      <c r="C2" s="1">
        <v>416.31</v>
      </c>
      <c r="D2" s="1">
        <v>416.93</v>
      </c>
      <c r="E2" s="1">
        <v>493.15</v>
      </c>
      <c r="F2" s="1">
        <v>460.04</v>
      </c>
      <c r="G2" s="1">
        <v>435.82</v>
      </c>
    </row>
    <row r="3" spans="1:7" x14ac:dyDescent="0.25">
      <c r="A3" s="1" t="s">
        <v>7</v>
      </c>
      <c r="B3" s="1">
        <v>48.05</v>
      </c>
      <c r="C3" s="1">
        <v>48.12</v>
      </c>
      <c r="D3" s="1">
        <v>48.44</v>
      </c>
      <c r="E3" s="1">
        <v>47.23</v>
      </c>
      <c r="F3" s="1">
        <v>47.83</v>
      </c>
      <c r="G3" s="1">
        <v>47.9</v>
      </c>
    </row>
    <row r="4" spans="1:7" x14ac:dyDescent="0.25">
      <c r="A4" s="1" t="s">
        <v>8</v>
      </c>
      <c r="B4" s="1">
        <v>20302.57</v>
      </c>
      <c r="C4" s="1">
        <v>20377.759999999998</v>
      </c>
      <c r="D4" s="1">
        <v>20540.41</v>
      </c>
      <c r="E4" s="1">
        <v>23690.87</v>
      </c>
      <c r="F4" s="1">
        <v>22357.03</v>
      </c>
      <c r="G4" s="1">
        <v>21207.26</v>
      </c>
    </row>
    <row r="5" spans="1:7" x14ac:dyDescent="0.25">
      <c r="A5" s="1" t="s">
        <v>9</v>
      </c>
      <c r="B5" s="1">
        <v>53.58</v>
      </c>
      <c r="C5" s="1">
        <v>61.5</v>
      </c>
      <c r="D5" s="1">
        <v>60.39</v>
      </c>
      <c r="E5" s="1">
        <v>216.02</v>
      </c>
      <c r="F5" s="1">
        <v>216.7</v>
      </c>
      <c r="G5" s="1">
        <v>345.24</v>
      </c>
    </row>
    <row r="6" spans="1:7" x14ac:dyDescent="0.25">
      <c r="A6" s="3" t="s">
        <v>10</v>
      </c>
      <c r="B6" s="3">
        <v>5.36</v>
      </c>
      <c r="C6" s="3">
        <v>6.21</v>
      </c>
      <c r="D6" s="3">
        <v>6.1</v>
      </c>
      <c r="E6" s="3">
        <v>21.82</v>
      </c>
      <c r="F6" s="3">
        <v>21.89</v>
      </c>
      <c r="G6" s="3">
        <v>35.229999999999997</v>
      </c>
    </row>
    <row r="7" spans="1:7" x14ac:dyDescent="0.25">
      <c r="A7" s="1" t="s">
        <v>11</v>
      </c>
      <c r="B7" s="1">
        <v>46.64</v>
      </c>
      <c r="C7" s="1">
        <v>54.05</v>
      </c>
      <c r="D7" s="1">
        <v>52.7</v>
      </c>
      <c r="E7" s="1">
        <v>212.11</v>
      </c>
      <c r="F7" s="1">
        <v>210.86</v>
      </c>
      <c r="G7" s="1">
        <v>337.03</v>
      </c>
    </row>
    <row r="8" spans="1:7" x14ac:dyDescent="0.25">
      <c r="A8" s="1" t="s">
        <v>12</v>
      </c>
      <c r="B8" s="1">
        <v>4.66</v>
      </c>
      <c r="C8" s="1">
        <v>5.46</v>
      </c>
      <c r="D8" s="1">
        <v>5.32</v>
      </c>
      <c r="E8" s="1">
        <v>21.42</v>
      </c>
      <c r="F8" s="1">
        <v>21.3</v>
      </c>
      <c r="G8" s="1">
        <v>34.39</v>
      </c>
    </row>
    <row r="9" spans="1:7" x14ac:dyDescent="0.25">
      <c r="A9" s="1" t="s">
        <v>13</v>
      </c>
      <c r="B9" s="1">
        <v>-5.21</v>
      </c>
      <c r="C9" s="1">
        <v>-5.42</v>
      </c>
      <c r="D9" s="1">
        <v>-19.940000000000001</v>
      </c>
      <c r="E9" s="1">
        <v>41.11</v>
      </c>
      <c r="F9" s="1">
        <v>90.19</v>
      </c>
      <c r="G9" s="1">
        <v>-211.26</v>
      </c>
    </row>
    <row r="10" spans="1:7" x14ac:dyDescent="0.25">
      <c r="A10" s="1" t="s">
        <v>14</v>
      </c>
      <c r="B10" s="1">
        <v>-0.52</v>
      </c>
      <c r="C10" s="1">
        <v>-0.55000000000000004</v>
      </c>
      <c r="D10" s="1">
        <v>-2.0099999999999998</v>
      </c>
      <c r="E10" s="1">
        <v>4.1500000000000004</v>
      </c>
      <c r="F10" s="1">
        <v>9.11</v>
      </c>
      <c r="G10" s="1">
        <v>-21.56</v>
      </c>
    </row>
    <row r="11" spans="1:7" x14ac:dyDescent="0.25">
      <c r="A11" s="1" t="s">
        <v>15</v>
      </c>
      <c r="B11" s="1">
        <v>1.76</v>
      </c>
      <c r="C11" s="1">
        <v>2.6</v>
      </c>
      <c r="D11" s="1">
        <v>11.56</v>
      </c>
      <c r="E11" s="1">
        <v>25.52</v>
      </c>
      <c r="F11" s="1">
        <v>59.11</v>
      </c>
      <c r="G11" s="1">
        <v>118.45</v>
      </c>
    </row>
    <row r="12" spans="1:7" x14ac:dyDescent="0.25">
      <c r="A12" s="1" t="s">
        <v>16</v>
      </c>
      <c r="B12" s="1">
        <v>213.71</v>
      </c>
      <c r="C12" s="1">
        <v>212.05</v>
      </c>
      <c r="D12" s="1">
        <v>224.71</v>
      </c>
      <c r="E12" s="1">
        <v>269.86</v>
      </c>
      <c r="F12" s="1">
        <v>236.03</v>
      </c>
      <c r="G12" s="1">
        <v>224.1</v>
      </c>
    </row>
    <row r="13" spans="1:7" x14ac:dyDescent="0.25">
      <c r="A13" s="1" t="s">
        <v>17</v>
      </c>
      <c r="B13" s="1">
        <v>27.75</v>
      </c>
      <c r="C13" s="1">
        <v>27.41</v>
      </c>
      <c r="D13" s="1">
        <v>26.02</v>
      </c>
      <c r="E13" s="1">
        <v>22.24</v>
      </c>
      <c r="F13" s="1">
        <v>22.5</v>
      </c>
      <c r="G13" s="1">
        <v>27.37</v>
      </c>
    </row>
    <row r="14" spans="1:7" x14ac:dyDescent="0.25">
      <c r="A14" s="1" t="s">
        <v>18</v>
      </c>
      <c r="B14" s="1">
        <v>30.03</v>
      </c>
      <c r="C14" s="1">
        <v>29.73</v>
      </c>
      <c r="D14" s="1">
        <v>29.08</v>
      </c>
      <c r="E14" s="1">
        <v>30.73</v>
      </c>
      <c r="F14" s="1">
        <v>36.11</v>
      </c>
      <c r="G14" s="1">
        <v>46.25</v>
      </c>
    </row>
    <row r="15" spans="1:7" x14ac:dyDescent="0.25">
      <c r="A15" s="1" t="s">
        <v>19</v>
      </c>
      <c r="B15" s="1">
        <v>0</v>
      </c>
      <c r="C15" s="1">
        <v>0</v>
      </c>
      <c r="D15" s="1">
        <v>1</v>
      </c>
      <c r="E15" s="1">
        <v>1</v>
      </c>
      <c r="F15" s="1">
        <v>1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20.71</v>
      </c>
      <c r="C17" s="1">
        <v>24.31</v>
      </c>
      <c r="D17" s="1">
        <v>16.38</v>
      </c>
      <c r="E17" s="1">
        <v>126.61</v>
      </c>
      <c r="F17" s="1">
        <v>150.53</v>
      </c>
      <c r="G17" s="1">
        <v>62.89</v>
      </c>
    </row>
    <row r="18" spans="1:7" x14ac:dyDescent="0.25">
      <c r="A18" s="1" t="s">
        <v>22</v>
      </c>
      <c r="B18" s="1">
        <v>25.93</v>
      </c>
      <c r="C18" s="1">
        <v>29.73</v>
      </c>
      <c r="D18" s="1">
        <v>36.32</v>
      </c>
      <c r="E18" s="1">
        <v>85.5</v>
      </c>
      <c r="F18" s="1">
        <v>60.33</v>
      </c>
      <c r="G18" s="1">
        <v>274.14</v>
      </c>
    </row>
    <row r="19" spans="1:7" x14ac:dyDescent="0.25">
      <c r="A19" s="1" t="s">
        <v>23</v>
      </c>
      <c r="B19" s="1">
        <v>2</v>
      </c>
      <c r="C19" s="1">
        <v>4</v>
      </c>
      <c r="D19" s="1">
        <v>1</v>
      </c>
      <c r="E19" s="1">
        <v>2</v>
      </c>
      <c r="F19" s="1">
        <v>1</v>
      </c>
      <c r="G19" s="1">
        <v>1</v>
      </c>
    </row>
    <row r="20" spans="1:7" x14ac:dyDescent="0.25">
      <c r="A20" s="1" t="s">
        <v>24</v>
      </c>
      <c r="B20" s="1">
        <v>2.1</v>
      </c>
      <c r="C20" s="1">
        <v>4.7</v>
      </c>
      <c r="D20" s="1">
        <v>3.4</v>
      </c>
      <c r="E20" s="1">
        <v>2.8</v>
      </c>
      <c r="F20" s="1">
        <v>1.1000000000000001</v>
      </c>
      <c r="G20" s="1">
        <v>7.6</v>
      </c>
    </row>
    <row r="21" spans="1:7" x14ac:dyDescent="0.25">
      <c r="A21" s="1" t="s">
        <v>25</v>
      </c>
      <c r="B21" s="1">
        <v>8</v>
      </c>
      <c r="C21" s="1">
        <v>5.3</v>
      </c>
      <c r="D21" s="1">
        <v>6.6</v>
      </c>
      <c r="E21" s="1">
        <v>7.2</v>
      </c>
      <c r="F21" s="1">
        <v>8.9</v>
      </c>
      <c r="G21" s="1">
        <v>2.2999999999999998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3.5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6.4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35.353535353535356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64.646464646464651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-0.22</v>
      </c>
      <c r="C33" s="3">
        <v>-0.18</v>
      </c>
      <c r="D33" s="3">
        <v>-1.1100000000000001</v>
      </c>
      <c r="E33" s="3">
        <v>2.5099999999999998</v>
      </c>
      <c r="F33" s="3">
        <v>5.95</v>
      </c>
      <c r="G33" s="3">
        <v>-14.43</v>
      </c>
    </row>
    <row r="35" spans="1:7" x14ac:dyDescent="0.25">
      <c r="A35" s="3" t="s">
        <v>36</v>
      </c>
      <c r="B35" s="3"/>
      <c r="C35" s="3"/>
      <c r="D35" s="3">
        <f>D33-C33</f>
        <v>-0.93000000000000016</v>
      </c>
      <c r="E35" s="3"/>
      <c r="F35" s="3">
        <f>F33-E33</f>
        <v>3.4400000000000004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3.62</v>
      </c>
      <c r="F37" s="3"/>
      <c r="G37" s="3">
        <f>G33-F33</f>
        <v>-20.38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A207-81C2-4910-ADCC-54C7B490180B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439.54</v>
      </c>
      <c r="C2" s="1">
        <v>440.4</v>
      </c>
      <c r="D2" s="1">
        <v>431.26</v>
      </c>
      <c r="E2" s="1">
        <v>435.33</v>
      </c>
      <c r="F2" s="1">
        <v>435.38</v>
      </c>
      <c r="G2" s="1">
        <v>435.23</v>
      </c>
    </row>
    <row r="3" spans="1:7" x14ac:dyDescent="0.25">
      <c r="A3" s="1" t="s">
        <v>7</v>
      </c>
      <c r="B3" s="1">
        <v>37.229999999999997</v>
      </c>
      <c r="C3" s="1">
        <v>37.19</v>
      </c>
      <c r="D3" s="1">
        <v>37.6</v>
      </c>
      <c r="E3" s="1">
        <v>37.020000000000003</v>
      </c>
      <c r="F3" s="1">
        <v>36.97</v>
      </c>
      <c r="G3" s="1">
        <v>37.01</v>
      </c>
    </row>
    <row r="4" spans="1:7" x14ac:dyDescent="0.25">
      <c r="A4" s="1" t="s">
        <v>8</v>
      </c>
      <c r="B4" s="1">
        <v>16648.009999999998</v>
      </c>
      <c r="C4" s="1">
        <v>16659.96</v>
      </c>
      <c r="D4" s="1">
        <v>16491.64</v>
      </c>
      <c r="E4" s="1">
        <v>16392.509999999998</v>
      </c>
      <c r="F4" s="1">
        <v>16373.81</v>
      </c>
      <c r="G4" s="1">
        <v>16385.36</v>
      </c>
    </row>
    <row r="5" spans="1:7" x14ac:dyDescent="0.25">
      <c r="A5" s="1" t="s">
        <v>9</v>
      </c>
      <c r="B5" s="1">
        <v>88.85</v>
      </c>
      <c r="C5" s="1">
        <v>94.89</v>
      </c>
      <c r="D5" s="1">
        <v>119.78</v>
      </c>
      <c r="E5" s="1">
        <v>100</v>
      </c>
      <c r="F5" s="1">
        <v>85.44</v>
      </c>
      <c r="G5" s="1">
        <v>84.48</v>
      </c>
    </row>
    <row r="6" spans="1:7" x14ac:dyDescent="0.25">
      <c r="A6" s="3" t="s">
        <v>10</v>
      </c>
      <c r="B6" s="3">
        <v>8.89</v>
      </c>
      <c r="C6" s="3">
        <v>9.58</v>
      </c>
      <c r="D6" s="3">
        <v>12.1</v>
      </c>
      <c r="E6" s="3">
        <v>10.1</v>
      </c>
      <c r="F6" s="3">
        <v>8.6300000000000008</v>
      </c>
      <c r="G6" s="3">
        <v>8.6199999999999992</v>
      </c>
    </row>
    <row r="7" spans="1:7" x14ac:dyDescent="0.25">
      <c r="A7" s="1" t="s">
        <v>11</v>
      </c>
      <c r="B7" s="1">
        <v>82.26</v>
      </c>
      <c r="C7" s="1">
        <v>88.83</v>
      </c>
      <c r="D7" s="1">
        <v>113.59</v>
      </c>
      <c r="E7" s="1">
        <v>94.13</v>
      </c>
      <c r="F7" s="1">
        <v>78.98</v>
      </c>
      <c r="G7" s="1">
        <v>77.56</v>
      </c>
    </row>
    <row r="8" spans="1:7" x14ac:dyDescent="0.25">
      <c r="A8" s="1" t="s">
        <v>12</v>
      </c>
      <c r="B8" s="1">
        <v>8.23</v>
      </c>
      <c r="C8" s="1">
        <v>8.9700000000000006</v>
      </c>
      <c r="D8" s="1">
        <v>11.47</v>
      </c>
      <c r="E8" s="1">
        <v>9.51</v>
      </c>
      <c r="F8" s="1">
        <v>7.98</v>
      </c>
      <c r="G8" s="1">
        <v>7.91</v>
      </c>
    </row>
    <row r="9" spans="1:7" x14ac:dyDescent="0.25">
      <c r="A9" s="1" t="s">
        <v>13</v>
      </c>
      <c r="B9" s="1">
        <v>-7.78</v>
      </c>
      <c r="C9" s="1">
        <v>8.8800000000000008</v>
      </c>
      <c r="D9" s="1">
        <v>24.67</v>
      </c>
      <c r="E9" s="1">
        <v>10.19</v>
      </c>
      <c r="F9" s="1">
        <v>7.37</v>
      </c>
      <c r="G9" s="1">
        <v>8.85</v>
      </c>
    </row>
    <row r="10" spans="1:7" x14ac:dyDescent="0.25">
      <c r="A10" s="1" t="s">
        <v>14</v>
      </c>
      <c r="B10" s="1">
        <v>-0.78</v>
      </c>
      <c r="C10" s="1">
        <v>0.9</v>
      </c>
      <c r="D10" s="1">
        <v>2.4900000000000002</v>
      </c>
      <c r="E10" s="1">
        <v>1.03</v>
      </c>
      <c r="F10" s="1">
        <v>0.74</v>
      </c>
      <c r="G10" s="1">
        <v>0.9</v>
      </c>
    </row>
    <row r="11" spans="1:7" x14ac:dyDescent="0.25">
      <c r="A11" s="1" t="s">
        <v>15</v>
      </c>
      <c r="B11" s="1">
        <v>2.34</v>
      </c>
      <c r="C11" s="1">
        <v>3.12</v>
      </c>
      <c r="D11" s="1">
        <v>6.39</v>
      </c>
      <c r="E11" s="1">
        <v>1.38</v>
      </c>
      <c r="F11" s="1">
        <v>1.3</v>
      </c>
      <c r="G11" s="1">
        <v>0.69</v>
      </c>
    </row>
    <row r="12" spans="1:7" x14ac:dyDescent="0.25">
      <c r="A12" s="1" t="s">
        <v>16</v>
      </c>
      <c r="B12" s="1">
        <v>212.79</v>
      </c>
      <c r="C12" s="1">
        <v>215.43</v>
      </c>
      <c r="D12" s="1">
        <v>248.15</v>
      </c>
      <c r="E12" s="1">
        <v>255.03</v>
      </c>
      <c r="F12" s="1">
        <v>243.53</v>
      </c>
      <c r="G12" s="1">
        <v>257.76</v>
      </c>
    </row>
    <row r="13" spans="1:7" x14ac:dyDescent="0.25">
      <c r="A13" s="1" t="s">
        <v>17</v>
      </c>
      <c r="B13" s="1">
        <v>7.53</v>
      </c>
      <c r="C13" s="1">
        <v>7.62</v>
      </c>
      <c r="D13" s="1">
        <v>8.31</v>
      </c>
      <c r="E13" s="1">
        <v>8.1300000000000008</v>
      </c>
      <c r="F13" s="1">
        <v>8.01</v>
      </c>
      <c r="G13" s="1">
        <v>7.91</v>
      </c>
    </row>
    <row r="14" spans="1:7" x14ac:dyDescent="0.25">
      <c r="A14" s="1" t="s">
        <v>18</v>
      </c>
      <c r="B14" s="1">
        <v>9.7200000000000006</v>
      </c>
      <c r="C14" s="1">
        <v>10.31</v>
      </c>
      <c r="D14" s="1">
        <v>12.39</v>
      </c>
      <c r="E14" s="1">
        <v>10.33</v>
      </c>
      <c r="F14" s="1">
        <v>10.119999999999999</v>
      </c>
      <c r="G14" s="1">
        <v>10.1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37.24</v>
      </c>
      <c r="C17" s="1">
        <v>48.85</v>
      </c>
      <c r="D17" s="1">
        <v>69.13</v>
      </c>
      <c r="E17" s="1">
        <v>52.16</v>
      </c>
      <c r="F17" s="1">
        <v>43.18</v>
      </c>
      <c r="G17" s="1">
        <v>43.21</v>
      </c>
    </row>
    <row r="18" spans="1:7" x14ac:dyDescent="0.25">
      <c r="A18" s="1" t="s">
        <v>22</v>
      </c>
      <c r="B18" s="1">
        <v>45.02</v>
      </c>
      <c r="C18" s="1">
        <v>39.97</v>
      </c>
      <c r="D18" s="1">
        <v>44.46</v>
      </c>
      <c r="E18" s="1">
        <v>41.97</v>
      </c>
      <c r="F18" s="1">
        <v>35.799999999999997</v>
      </c>
      <c r="G18" s="1">
        <v>34.36</v>
      </c>
    </row>
    <row r="19" spans="1:7" x14ac:dyDescent="0.25">
      <c r="A19" s="1" t="s">
        <v>23</v>
      </c>
      <c r="B19" s="1">
        <v>1</v>
      </c>
      <c r="C19" s="1">
        <v>1</v>
      </c>
      <c r="D19" s="1">
        <v>2</v>
      </c>
      <c r="E19" s="1">
        <v>2</v>
      </c>
      <c r="F19" s="1">
        <v>3</v>
      </c>
      <c r="G19" s="1">
        <v>1</v>
      </c>
    </row>
    <row r="20" spans="1:7" x14ac:dyDescent="0.25">
      <c r="A20" s="1" t="s">
        <v>24</v>
      </c>
      <c r="B20" s="1">
        <v>1.3</v>
      </c>
      <c r="C20" s="1">
        <v>1</v>
      </c>
      <c r="D20" s="1">
        <v>3.7</v>
      </c>
      <c r="E20" s="1">
        <v>2.6</v>
      </c>
      <c r="F20" s="1">
        <v>4.3</v>
      </c>
      <c r="G20" s="1">
        <v>1.4</v>
      </c>
    </row>
    <row r="21" spans="1:7" x14ac:dyDescent="0.25">
      <c r="A21" s="1" t="s">
        <v>25</v>
      </c>
      <c r="B21" s="1">
        <v>8.8000000000000007</v>
      </c>
      <c r="C21" s="1">
        <v>9</v>
      </c>
      <c r="D21" s="1">
        <v>6.3</v>
      </c>
      <c r="E21" s="1">
        <v>7.4</v>
      </c>
      <c r="F21" s="1">
        <v>5.7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-0.32</v>
      </c>
      <c r="C33" s="3">
        <v>0.32</v>
      </c>
      <c r="D33" s="3">
        <v>0.55000000000000004</v>
      </c>
      <c r="E33" s="3">
        <v>0.19</v>
      </c>
      <c r="F33" s="3">
        <v>0.23</v>
      </c>
      <c r="G33" s="3">
        <v>-0.28000000000000003</v>
      </c>
    </row>
    <row r="35" spans="1:7" x14ac:dyDescent="0.25">
      <c r="A35" s="3" t="s">
        <v>36</v>
      </c>
      <c r="B35" s="3"/>
      <c r="C35" s="3"/>
      <c r="D35" s="3">
        <f>D33-C33</f>
        <v>0.23000000000000004</v>
      </c>
      <c r="E35" s="3"/>
      <c r="F35" s="3">
        <f>F33-E33</f>
        <v>4.0000000000000008E-2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-0.36000000000000004</v>
      </c>
      <c r="F37" s="3"/>
      <c r="G37" s="3">
        <f>G33-F33</f>
        <v>-0.51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6A06-ADA8-41C9-B4BC-BEB3940F2EAA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481.38</v>
      </c>
      <c r="C2" s="1">
        <v>484.84</v>
      </c>
      <c r="D2" s="1">
        <v>485.69</v>
      </c>
      <c r="E2" s="1">
        <v>486.64</v>
      </c>
      <c r="F2" s="1">
        <v>441.33</v>
      </c>
      <c r="G2" s="1">
        <v>444.02</v>
      </c>
    </row>
    <row r="3" spans="1:7" x14ac:dyDescent="0.25">
      <c r="A3" s="1" t="s">
        <v>7</v>
      </c>
      <c r="B3" s="1">
        <v>44.59</v>
      </c>
      <c r="C3" s="1">
        <v>44.54</v>
      </c>
      <c r="D3" s="1">
        <v>44.67</v>
      </c>
      <c r="E3" s="1">
        <v>44.72</v>
      </c>
      <c r="F3" s="1">
        <v>47.04</v>
      </c>
      <c r="G3" s="1">
        <v>48.74</v>
      </c>
    </row>
    <row r="4" spans="1:7" x14ac:dyDescent="0.25">
      <c r="A4" s="1" t="s">
        <v>8</v>
      </c>
      <c r="B4" s="1">
        <v>21832.93</v>
      </c>
      <c r="C4" s="1">
        <v>21964.22</v>
      </c>
      <c r="D4" s="1">
        <v>22070.68</v>
      </c>
      <c r="E4" s="1">
        <v>22137.8</v>
      </c>
      <c r="F4" s="1">
        <v>21069.69</v>
      </c>
      <c r="G4" s="1">
        <v>21993.81</v>
      </c>
    </row>
    <row r="5" spans="1:7" x14ac:dyDescent="0.25">
      <c r="A5" s="1" t="s">
        <v>9</v>
      </c>
      <c r="B5" s="1">
        <v>123.49</v>
      </c>
      <c r="C5" s="1">
        <v>117.18</v>
      </c>
      <c r="D5" s="1">
        <v>103.02</v>
      </c>
      <c r="E5" s="1">
        <v>113.89</v>
      </c>
      <c r="F5" s="1">
        <v>495.69</v>
      </c>
      <c r="G5" s="1">
        <v>581.25</v>
      </c>
    </row>
    <row r="6" spans="1:7" x14ac:dyDescent="0.25">
      <c r="A6" s="3" t="s">
        <v>10</v>
      </c>
      <c r="B6" s="3">
        <v>12.35</v>
      </c>
      <c r="C6" s="3">
        <v>11.84</v>
      </c>
      <c r="D6" s="3">
        <v>10.41</v>
      </c>
      <c r="E6" s="3">
        <v>11.5</v>
      </c>
      <c r="F6" s="3">
        <v>50.07</v>
      </c>
      <c r="G6" s="3">
        <v>59.31</v>
      </c>
    </row>
    <row r="7" spans="1:7" x14ac:dyDescent="0.25">
      <c r="A7" s="1" t="s">
        <v>11</v>
      </c>
      <c r="B7" s="1">
        <v>119.79</v>
      </c>
      <c r="C7" s="1">
        <v>114.19</v>
      </c>
      <c r="D7" s="1">
        <v>98.62</v>
      </c>
      <c r="E7" s="1">
        <v>109.37</v>
      </c>
      <c r="F7" s="1">
        <v>463.33</v>
      </c>
      <c r="G7" s="1">
        <v>518.02</v>
      </c>
    </row>
    <row r="8" spans="1:7" x14ac:dyDescent="0.25">
      <c r="A8" s="1" t="s">
        <v>12</v>
      </c>
      <c r="B8" s="1">
        <v>11.98</v>
      </c>
      <c r="C8" s="1">
        <v>11.53</v>
      </c>
      <c r="D8" s="1">
        <v>9.9600000000000009</v>
      </c>
      <c r="E8" s="1">
        <v>11.05</v>
      </c>
      <c r="F8" s="1">
        <v>46.8</v>
      </c>
      <c r="G8" s="1">
        <v>52.86</v>
      </c>
    </row>
    <row r="9" spans="1:7" x14ac:dyDescent="0.25">
      <c r="A9" s="1" t="s">
        <v>13</v>
      </c>
      <c r="B9" s="1">
        <v>-47.05</v>
      </c>
      <c r="C9" s="1">
        <v>-10.39</v>
      </c>
      <c r="D9" s="1">
        <v>8.41</v>
      </c>
      <c r="E9" s="1">
        <v>-9.57</v>
      </c>
      <c r="F9" s="1">
        <v>439.95</v>
      </c>
      <c r="G9" s="1">
        <v>-173.15</v>
      </c>
    </row>
    <row r="10" spans="1:7" x14ac:dyDescent="0.25">
      <c r="A10" s="1" t="s">
        <v>14</v>
      </c>
      <c r="B10" s="1">
        <v>-4.7</v>
      </c>
      <c r="C10" s="1">
        <v>-1.05</v>
      </c>
      <c r="D10" s="1">
        <v>0.85</v>
      </c>
      <c r="E10" s="1">
        <v>-0.97</v>
      </c>
      <c r="F10" s="1">
        <v>44.44</v>
      </c>
      <c r="G10" s="1">
        <v>-17.670000000000002</v>
      </c>
    </row>
    <row r="11" spans="1:7" x14ac:dyDescent="0.25">
      <c r="A11" s="1" t="s">
        <v>15</v>
      </c>
      <c r="B11" s="1">
        <v>32.69</v>
      </c>
      <c r="C11" s="1">
        <v>7.33</v>
      </c>
      <c r="D11" s="1">
        <v>2.34</v>
      </c>
      <c r="E11" s="1">
        <v>3.73</v>
      </c>
      <c r="F11" s="1">
        <v>397.07</v>
      </c>
      <c r="G11" s="1">
        <v>34.64</v>
      </c>
    </row>
    <row r="12" spans="1:7" x14ac:dyDescent="0.25">
      <c r="A12" s="1" t="s">
        <v>16</v>
      </c>
      <c r="B12" s="1">
        <v>234.76</v>
      </c>
      <c r="C12" s="1">
        <v>231</v>
      </c>
      <c r="D12" s="1">
        <v>236.88</v>
      </c>
      <c r="E12" s="1">
        <v>240.18</v>
      </c>
      <c r="F12" s="1">
        <v>249.67</v>
      </c>
      <c r="G12" s="1">
        <v>181.59</v>
      </c>
    </row>
    <row r="13" spans="1:7" x14ac:dyDescent="0.25">
      <c r="A13" s="1" t="s">
        <v>17</v>
      </c>
      <c r="B13" s="1">
        <v>24.26</v>
      </c>
      <c r="C13" s="1">
        <v>23.74</v>
      </c>
      <c r="D13" s="1">
        <v>23.32</v>
      </c>
      <c r="E13" s="1">
        <v>23.44</v>
      </c>
      <c r="F13" s="1">
        <v>24.85</v>
      </c>
      <c r="G13" s="1">
        <v>42.91</v>
      </c>
    </row>
    <row r="14" spans="1:7" x14ac:dyDescent="0.25">
      <c r="A14" s="1" t="s">
        <v>18</v>
      </c>
      <c r="B14" s="1">
        <v>31.48</v>
      </c>
      <c r="C14" s="1">
        <v>29.48</v>
      </c>
      <c r="D14" s="1">
        <v>29.12</v>
      </c>
      <c r="E14" s="1">
        <v>28.12</v>
      </c>
      <c r="F14" s="1">
        <v>42.54</v>
      </c>
      <c r="G14" s="1">
        <v>86.01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36.369999999999997</v>
      </c>
      <c r="C17" s="1">
        <v>51.9</v>
      </c>
      <c r="D17" s="1">
        <v>53.51</v>
      </c>
      <c r="E17" s="1">
        <v>49.9</v>
      </c>
      <c r="F17" s="1">
        <v>451.64</v>
      </c>
      <c r="G17" s="1">
        <v>172.43</v>
      </c>
    </row>
    <row r="18" spans="1:7" x14ac:dyDescent="0.25">
      <c r="A18" s="1" t="s">
        <v>22</v>
      </c>
      <c r="B18" s="1">
        <v>83.42</v>
      </c>
      <c r="C18" s="1">
        <v>62.29</v>
      </c>
      <c r="D18" s="1">
        <v>45.1</v>
      </c>
      <c r="E18" s="1">
        <v>59.47</v>
      </c>
      <c r="F18" s="1">
        <v>11.69</v>
      </c>
      <c r="G18" s="1">
        <v>345.58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3.6</v>
      </c>
      <c r="C20" s="1">
        <v>2.7</v>
      </c>
      <c r="D20" s="1">
        <v>1.2</v>
      </c>
      <c r="E20" s="1">
        <v>1.6</v>
      </c>
      <c r="F20" s="1">
        <v>0</v>
      </c>
      <c r="G20" s="1">
        <v>3.3</v>
      </c>
    </row>
    <row r="21" spans="1:7" x14ac:dyDescent="0.25">
      <c r="A21" s="1" t="s">
        <v>25</v>
      </c>
      <c r="B21" s="1">
        <v>6.5</v>
      </c>
      <c r="C21" s="1">
        <v>7.3</v>
      </c>
      <c r="D21" s="1">
        <v>8.8000000000000007</v>
      </c>
      <c r="E21" s="1">
        <v>8.4</v>
      </c>
      <c r="F21" s="1">
        <v>10</v>
      </c>
      <c r="G21" s="1">
        <v>6.6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4.7</v>
      </c>
      <c r="G25" s="1">
        <v>7.4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5.3</v>
      </c>
      <c r="G26" s="1">
        <v>1.5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10.1010101010101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47</v>
      </c>
      <c r="G30" s="3">
        <f t="shared" si="2"/>
        <v>74.747474747474755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53</v>
      </c>
      <c r="G31" s="3">
        <f t="shared" si="3"/>
        <v>15.151515151515152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-3.82</v>
      </c>
      <c r="C33" s="3">
        <v>-0.49</v>
      </c>
      <c r="D33" s="3">
        <v>0.24</v>
      </c>
      <c r="E33" s="3">
        <v>-0.44</v>
      </c>
      <c r="F33" s="3">
        <v>45.1</v>
      </c>
      <c r="G33" s="3">
        <v>-4.09</v>
      </c>
    </row>
    <row r="35" spans="1:7" x14ac:dyDescent="0.25">
      <c r="A35" s="3" t="s">
        <v>36</v>
      </c>
      <c r="B35" s="3"/>
      <c r="C35" s="3"/>
      <c r="D35" s="3">
        <f>D33-C33</f>
        <v>0.73</v>
      </c>
      <c r="E35" s="3"/>
      <c r="F35" s="3">
        <f>F33-E33</f>
        <v>45.54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-0.67999999999999994</v>
      </c>
      <c r="F37" s="3"/>
      <c r="G37" s="3">
        <f>G33-F33</f>
        <v>-49.19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BA44-2DB1-494F-A060-2C42AC6513B1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367.5</v>
      </c>
      <c r="C2" s="1">
        <v>368.7</v>
      </c>
      <c r="D2" s="1">
        <v>368.4</v>
      </c>
      <c r="E2" s="1">
        <v>371.94</v>
      </c>
      <c r="F2" s="1">
        <v>373.42</v>
      </c>
      <c r="G2" s="1">
        <v>390.03</v>
      </c>
    </row>
    <row r="3" spans="1:7" x14ac:dyDescent="0.25">
      <c r="A3" s="1" t="s">
        <v>7</v>
      </c>
      <c r="B3" s="1">
        <v>34.64</v>
      </c>
      <c r="C3" s="1">
        <v>34.729999999999997</v>
      </c>
      <c r="D3" s="1">
        <v>34.69</v>
      </c>
      <c r="E3" s="1">
        <v>34.82</v>
      </c>
      <c r="F3" s="1">
        <v>35.81</v>
      </c>
      <c r="G3" s="1">
        <v>37.869999999999997</v>
      </c>
    </row>
    <row r="4" spans="1:7" x14ac:dyDescent="0.25">
      <c r="A4" s="1" t="s">
        <v>8</v>
      </c>
      <c r="B4" s="1">
        <v>12947.92</v>
      </c>
      <c r="C4" s="1">
        <v>13024.45</v>
      </c>
      <c r="D4" s="1">
        <v>12999.86</v>
      </c>
      <c r="E4" s="1">
        <v>13172.45</v>
      </c>
      <c r="F4" s="1">
        <v>13622.48</v>
      </c>
      <c r="G4" s="1">
        <v>14993.04</v>
      </c>
    </row>
    <row r="5" spans="1:7" x14ac:dyDescent="0.25">
      <c r="A5" s="1" t="s">
        <v>9</v>
      </c>
      <c r="B5" s="1">
        <v>55.92</v>
      </c>
      <c r="C5" s="1">
        <v>63.64</v>
      </c>
      <c r="D5" s="1">
        <v>62.95</v>
      </c>
      <c r="E5" s="1">
        <v>64.06</v>
      </c>
      <c r="F5" s="1">
        <v>829.81</v>
      </c>
      <c r="G5" s="1">
        <v>1823.2</v>
      </c>
    </row>
    <row r="6" spans="1:7" x14ac:dyDescent="0.25">
      <c r="A6" s="3" t="s">
        <v>10</v>
      </c>
      <c r="B6" s="3">
        <v>5.59</v>
      </c>
      <c r="C6" s="3">
        <v>6.43</v>
      </c>
      <c r="D6" s="3">
        <v>6.36</v>
      </c>
      <c r="E6" s="3">
        <v>6.47</v>
      </c>
      <c r="F6" s="3">
        <v>83.82</v>
      </c>
      <c r="G6" s="3">
        <v>186.04</v>
      </c>
    </row>
    <row r="7" spans="1:7" x14ac:dyDescent="0.25">
      <c r="A7" s="1" t="s">
        <v>11</v>
      </c>
      <c r="B7" s="1">
        <v>51.06</v>
      </c>
      <c r="C7" s="1">
        <v>55.56</v>
      </c>
      <c r="D7" s="1">
        <v>57.9</v>
      </c>
      <c r="E7" s="1">
        <v>59.28</v>
      </c>
      <c r="F7" s="1">
        <v>804.73</v>
      </c>
      <c r="G7" s="1">
        <v>1694.45</v>
      </c>
    </row>
    <row r="8" spans="1:7" x14ac:dyDescent="0.25">
      <c r="A8" s="1" t="s">
        <v>12</v>
      </c>
      <c r="B8" s="1">
        <v>5.1100000000000003</v>
      </c>
      <c r="C8" s="1">
        <v>5.61</v>
      </c>
      <c r="D8" s="1">
        <v>5.85</v>
      </c>
      <c r="E8" s="1">
        <v>5.99</v>
      </c>
      <c r="F8" s="1">
        <v>81.290000000000006</v>
      </c>
      <c r="G8" s="1">
        <v>172.9</v>
      </c>
    </row>
    <row r="9" spans="1:7" x14ac:dyDescent="0.25">
      <c r="A9" s="1" t="s">
        <v>13</v>
      </c>
      <c r="B9" s="1">
        <v>4.53</v>
      </c>
      <c r="C9" s="1">
        <v>4.83</v>
      </c>
      <c r="D9" s="1">
        <v>-5.87</v>
      </c>
      <c r="E9" s="1">
        <v>-5.28</v>
      </c>
      <c r="F9" s="1">
        <v>782.53</v>
      </c>
      <c r="G9" s="1">
        <v>1694.45</v>
      </c>
    </row>
    <row r="10" spans="1:7" x14ac:dyDescent="0.25">
      <c r="A10" s="1" t="s">
        <v>14</v>
      </c>
      <c r="B10" s="1">
        <v>0.45</v>
      </c>
      <c r="C10" s="1">
        <v>0.49</v>
      </c>
      <c r="D10" s="1">
        <v>-0.59</v>
      </c>
      <c r="E10" s="1">
        <v>-0.53</v>
      </c>
      <c r="F10" s="1">
        <v>79.040000000000006</v>
      </c>
      <c r="G10" s="1">
        <v>172.9</v>
      </c>
    </row>
    <row r="11" spans="1:7" x14ac:dyDescent="0.25">
      <c r="A11" s="1" t="s">
        <v>15</v>
      </c>
      <c r="B11" s="1">
        <v>2.52</v>
      </c>
      <c r="C11" s="1">
        <v>3.05</v>
      </c>
      <c r="D11" s="1">
        <v>1.53</v>
      </c>
      <c r="E11" s="1">
        <v>2.79</v>
      </c>
      <c r="F11" s="1">
        <v>602.14</v>
      </c>
      <c r="G11" s="1">
        <v>1610.41</v>
      </c>
    </row>
    <row r="12" spans="1:7" x14ac:dyDescent="0.25">
      <c r="A12" s="1" t="s">
        <v>16</v>
      </c>
      <c r="B12" s="1">
        <v>187.98</v>
      </c>
      <c r="C12" s="1">
        <v>189.06</v>
      </c>
      <c r="D12" s="1">
        <v>200.02</v>
      </c>
      <c r="E12" s="1">
        <v>174.13</v>
      </c>
      <c r="F12" s="1">
        <v>208.21</v>
      </c>
      <c r="G12" s="1">
        <v>239.98</v>
      </c>
    </row>
    <row r="13" spans="1:7" x14ac:dyDescent="0.25">
      <c r="A13" s="1" t="s">
        <v>17</v>
      </c>
      <c r="B13" s="1">
        <v>8.4600000000000009</v>
      </c>
      <c r="C13" s="1">
        <v>8.19</v>
      </c>
      <c r="D13" s="1">
        <v>8.11</v>
      </c>
      <c r="E13" s="1">
        <v>8.14</v>
      </c>
      <c r="F13" s="1">
        <v>17.78</v>
      </c>
      <c r="G13" s="1">
        <v>24.2</v>
      </c>
    </row>
    <row r="14" spans="1:7" x14ac:dyDescent="0.25">
      <c r="A14" s="1" t="s">
        <v>18</v>
      </c>
      <c r="B14" s="1">
        <v>10.06</v>
      </c>
      <c r="C14" s="1">
        <v>10.1</v>
      </c>
      <c r="D14" s="1">
        <v>9.93</v>
      </c>
      <c r="E14" s="1">
        <v>9.4499999999999993</v>
      </c>
      <c r="F14" s="1">
        <v>59.23</v>
      </c>
      <c r="G14" s="1">
        <v>50.59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4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27.79</v>
      </c>
      <c r="C17" s="1">
        <v>30.2</v>
      </c>
      <c r="D17" s="1">
        <v>26.02</v>
      </c>
      <c r="E17" s="1">
        <v>27</v>
      </c>
      <c r="F17" s="1">
        <v>793.63</v>
      </c>
      <c r="G17" s="1">
        <v>1694.45</v>
      </c>
    </row>
    <row r="18" spans="1:7" x14ac:dyDescent="0.25">
      <c r="A18" s="1" t="s">
        <v>22</v>
      </c>
      <c r="B18" s="1">
        <v>23.27</v>
      </c>
      <c r="C18" s="1">
        <v>25.36</v>
      </c>
      <c r="D18" s="1">
        <v>31.88</v>
      </c>
      <c r="E18" s="1">
        <v>32.28</v>
      </c>
      <c r="F18" s="1">
        <v>11.1</v>
      </c>
      <c r="G18" s="1">
        <v>0</v>
      </c>
    </row>
    <row r="19" spans="1:7" x14ac:dyDescent="0.25">
      <c r="A19" s="1" t="s">
        <v>23</v>
      </c>
      <c r="B19" s="1">
        <v>1</v>
      </c>
      <c r="C19" s="1">
        <v>2</v>
      </c>
      <c r="D19" s="1">
        <v>2</v>
      </c>
      <c r="E19" s="1">
        <v>3</v>
      </c>
      <c r="F19" s="1">
        <v>0</v>
      </c>
      <c r="G19" s="1">
        <v>0</v>
      </c>
    </row>
    <row r="20" spans="1:7" x14ac:dyDescent="0.25">
      <c r="A20" s="1" t="s">
        <v>24</v>
      </c>
      <c r="B20" s="1">
        <v>1</v>
      </c>
      <c r="C20" s="1">
        <v>2.8</v>
      </c>
      <c r="D20" s="1">
        <v>2.1</v>
      </c>
      <c r="E20" s="1">
        <v>3.8</v>
      </c>
      <c r="F20" s="1">
        <v>0</v>
      </c>
      <c r="G20" s="1">
        <v>0</v>
      </c>
    </row>
    <row r="21" spans="1:7" x14ac:dyDescent="0.25">
      <c r="A21" s="1" t="s">
        <v>25</v>
      </c>
      <c r="B21" s="1">
        <v>9.1</v>
      </c>
      <c r="C21" s="1">
        <v>7.2</v>
      </c>
      <c r="D21" s="1">
        <v>7.9</v>
      </c>
      <c r="E21" s="1">
        <v>6.2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4.4000000000000004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5.6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44.000000000000007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55.999999999999993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0.28999999999999998</v>
      </c>
      <c r="C33" s="3">
        <v>0.18</v>
      </c>
      <c r="D33" s="3">
        <v>0.06</v>
      </c>
      <c r="E33" s="3">
        <v>-0.28000000000000003</v>
      </c>
      <c r="F33" s="3">
        <v>79.31</v>
      </c>
      <c r="G33" s="3">
        <v>184.25</v>
      </c>
    </row>
    <row r="35" spans="1:7" x14ac:dyDescent="0.25">
      <c r="A35" s="3" t="s">
        <v>36</v>
      </c>
      <c r="B35" s="3"/>
      <c r="C35" s="3"/>
      <c r="D35" s="3">
        <f>D33-C33</f>
        <v>-0.12</v>
      </c>
      <c r="E35" s="3"/>
      <c r="F35" s="3">
        <f>F33-E33</f>
        <v>79.59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-0.34</v>
      </c>
      <c r="F37" s="3"/>
      <c r="G37" s="3">
        <f>G33-F33</f>
        <v>104.94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B174-A5FB-4116-BF02-9290D79BAED2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449.24</v>
      </c>
      <c r="C2" s="1">
        <v>464.16</v>
      </c>
      <c r="D2" s="1">
        <v>434.05</v>
      </c>
      <c r="E2" s="1">
        <v>393.45</v>
      </c>
      <c r="F2" s="1">
        <v>412.06</v>
      </c>
      <c r="G2" s="1">
        <v>460.1</v>
      </c>
    </row>
    <row r="3" spans="1:7" x14ac:dyDescent="0.25">
      <c r="A3" s="1" t="s">
        <v>7</v>
      </c>
      <c r="B3" s="1">
        <v>56.37</v>
      </c>
      <c r="C3" s="1">
        <v>52.53</v>
      </c>
      <c r="D3" s="1">
        <v>57.62</v>
      </c>
      <c r="E3" s="1">
        <v>55.13</v>
      </c>
      <c r="F3" s="1">
        <v>51.19</v>
      </c>
      <c r="G3" s="1">
        <v>57.63</v>
      </c>
    </row>
    <row r="4" spans="1:7" x14ac:dyDescent="0.25">
      <c r="A4" s="1" t="s">
        <v>8</v>
      </c>
      <c r="B4" s="1">
        <v>25704.400000000001</v>
      </c>
      <c r="C4" s="1">
        <v>24797.75</v>
      </c>
      <c r="D4" s="1">
        <v>25622.560000000001</v>
      </c>
      <c r="E4" s="1">
        <v>22060.25</v>
      </c>
      <c r="F4" s="1">
        <v>21400.59</v>
      </c>
      <c r="G4" s="1">
        <v>26951.14</v>
      </c>
    </row>
    <row r="5" spans="1:7" x14ac:dyDescent="0.25">
      <c r="A5" s="1" t="s">
        <v>9</v>
      </c>
      <c r="B5" s="1">
        <v>549.39</v>
      </c>
      <c r="C5" s="1">
        <v>1124.3599999999999</v>
      </c>
      <c r="D5" s="1">
        <v>399.72</v>
      </c>
      <c r="E5" s="1">
        <v>227.13</v>
      </c>
      <c r="F5" s="1">
        <v>780.07</v>
      </c>
      <c r="G5" s="1">
        <v>1174.71</v>
      </c>
    </row>
    <row r="6" spans="1:7" x14ac:dyDescent="0.25">
      <c r="A6" s="3" t="s">
        <v>10</v>
      </c>
      <c r="B6" s="3">
        <v>54.94</v>
      </c>
      <c r="C6" s="3">
        <v>113.57</v>
      </c>
      <c r="D6" s="3">
        <v>40.380000000000003</v>
      </c>
      <c r="E6" s="3">
        <v>22.94</v>
      </c>
      <c r="F6" s="3">
        <v>78.790000000000006</v>
      </c>
      <c r="G6" s="3">
        <v>119.87</v>
      </c>
    </row>
    <row r="7" spans="1:7" x14ac:dyDescent="0.25">
      <c r="A7" s="1" t="s">
        <v>11</v>
      </c>
      <c r="B7" s="1">
        <v>524.27</v>
      </c>
      <c r="C7" s="1">
        <v>1102.98</v>
      </c>
      <c r="D7" s="1">
        <v>348.13</v>
      </c>
      <c r="E7" s="1">
        <v>208.25</v>
      </c>
      <c r="F7" s="1">
        <v>757.29</v>
      </c>
      <c r="G7" s="1">
        <v>1145.97</v>
      </c>
    </row>
    <row r="8" spans="1:7" x14ac:dyDescent="0.25">
      <c r="A8" s="1" t="s">
        <v>12</v>
      </c>
      <c r="B8" s="1">
        <v>52.43</v>
      </c>
      <c r="C8" s="1">
        <v>111.41</v>
      </c>
      <c r="D8" s="1">
        <v>35.159999999999997</v>
      </c>
      <c r="E8" s="1">
        <v>21.04</v>
      </c>
      <c r="F8" s="1">
        <v>76.489999999999995</v>
      </c>
      <c r="G8" s="1">
        <v>116.94</v>
      </c>
    </row>
    <row r="9" spans="1:7" x14ac:dyDescent="0.25">
      <c r="A9" s="1" t="s">
        <v>13</v>
      </c>
      <c r="B9" s="1">
        <v>472.6</v>
      </c>
      <c r="C9" s="1">
        <v>1102.98</v>
      </c>
      <c r="D9" s="1">
        <v>145.74</v>
      </c>
      <c r="E9" s="1">
        <v>-28.02</v>
      </c>
      <c r="F9" s="1">
        <v>708.59</v>
      </c>
      <c r="G9" s="1">
        <v>1145.97</v>
      </c>
    </row>
    <row r="10" spans="1:7" x14ac:dyDescent="0.25">
      <c r="A10" s="1" t="s">
        <v>14</v>
      </c>
      <c r="B10" s="1">
        <v>47.26</v>
      </c>
      <c r="C10" s="1">
        <v>111.41</v>
      </c>
      <c r="D10" s="1">
        <v>14.72</v>
      </c>
      <c r="E10" s="1">
        <v>-2.83</v>
      </c>
      <c r="F10" s="1">
        <v>71.569999999999993</v>
      </c>
      <c r="G10" s="1">
        <v>116.94</v>
      </c>
    </row>
    <row r="11" spans="1:7" x14ac:dyDescent="0.25">
      <c r="A11" s="1" t="s">
        <v>15</v>
      </c>
      <c r="B11" s="1">
        <v>291.67</v>
      </c>
      <c r="C11" s="1">
        <v>913.83</v>
      </c>
      <c r="D11" s="1">
        <v>151.12</v>
      </c>
      <c r="E11" s="1">
        <v>19.41</v>
      </c>
      <c r="F11" s="1">
        <v>651.11</v>
      </c>
      <c r="G11" s="1">
        <v>1023.81</v>
      </c>
    </row>
    <row r="12" spans="1:7" x14ac:dyDescent="0.25">
      <c r="A12" s="1" t="s">
        <v>16</v>
      </c>
      <c r="B12" s="1">
        <v>224.86</v>
      </c>
      <c r="C12" s="1">
        <v>262.92</v>
      </c>
      <c r="D12" s="1">
        <v>207.45</v>
      </c>
      <c r="E12" s="1">
        <v>198.2</v>
      </c>
      <c r="F12" s="1">
        <v>244.63</v>
      </c>
      <c r="G12" s="1">
        <v>245.06</v>
      </c>
    </row>
    <row r="13" spans="1:7" x14ac:dyDescent="0.25">
      <c r="A13" s="1" t="s">
        <v>17</v>
      </c>
      <c r="B13" s="1">
        <v>40.64</v>
      </c>
      <c r="C13" s="1">
        <v>30.21</v>
      </c>
      <c r="D13" s="1">
        <v>18.329999999999998</v>
      </c>
      <c r="E13" s="1">
        <v>8.3000000000000007</v>
      </c>
      <c r="F13" s="1">
        <v>15.99</v>
      </c>
      <c r="G13" s="1">
        <v>27.36</v>
      </c>
    </row>
    <row r="14" spans="1:7" x14ac:dyDescent="0.25">
      <c r="A14" s="1" t="s">
        <v>18</v>
      </c>
      <c r="B14" s="1">
        <v>83.97</v>
      </c>
      <c r="C14" s="1">
        <v>63.17</v>
      </c>
      <c r="D14" s="1">
        <v>82.09</v>
      </c>
      <c r="E14" s="1">
        <v>36.450000000000003</v>
      </c>
      <c r="F14" s="1">
        <v>45.88</v>
      </c>
      <c r="G14" s="1">
        <v>59.47</v>
      </c>
    </row>
    <row r="15" spans="1:7" x14ac:dyDescent="0.25">
      <c r="A15" s="1" t="s">
        <v>19</v>
      </c>
      <c r="B15" s="1">
        <v>3</v>
      </c>
      <c r="C15" s="1">
        <v>3</v>
      </c>
      <c r="D15" s="1">
        <v>4</v>
      </c>
      <c r="E15" s="1">
        <v>2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498.43</v>
      </c>
      <c r="C17" s="1">
        <v>1102.98</v>
      </c>
      <c r="D17" s="1">
        <v>246.94</v>
      </c>
      <c r="E17" s="1">
        <v>90.11</v>
      </c>
      <c r="F17" s="1">
        <v>732.94</v>
      </c>
      <c r="G17" s="1">
        <v>1145.97</v>
      </c>
    </row>
    <row r="18" spans="1:7" x14ac:dyDescent="0.25">
      <c r="A18" s="1" t="s">
        <v>22</v>
      </c>
      <c r="B18" s="1">
        <v>25.84</v>
      </c>
      <c r="C18" s="1">
        <v>0</v>
      </c>
      <c r="D18" s="1">
        <v>101.19</v>
      </c>
      <c r="E18" s="1">
        <v>118.14</v>
      </c>
      <c r="F18" s="1">
        <v>24.35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3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4.5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5.5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5</v>
      </c>
      <c r="C25" s="1">
        <v>0</v>
      </c>
      <c r="D25" s="1">
        <v>6.9</v>
      </c>
      <c r="E25" s="1">
        <v>10</v>
      </c>
      <c r="F25" s="1">
        <v>3</v>
      </c>
      <c r="G25" s="1">
        <v>0</v>
      </c>
    </row>
    <row r="26" spans="1:7" x14ac:dyDescent="0.25">
      <c r="A26" s="1" t="s">
        <v>30</v>
      </c>
      <c r="B26" s="1">
        <v>5.0999999999999996</v>
      </c>
      <c r="C26" s="1">
        <v>10</v>
      </c>
      <c r="D26" s="1">
        <v>3.1</v>
      </c>
      <c r="E26" s="1">
        <v>0</v>
      </c>
      <c r="F26" s="1">
        <v>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49.504950495049506</v>
      </c>
      <c r="C30" s="3">
        <f t="shared" ref="C30:G30" si="2">C25/C28*100</f>
        <v>0</v>
      </c>
      <c r="D30" s="3">
        <f t="shared" si="2"/>
        <v>69</v>
      </c>
      <c r="E30" s="3">
        <f t="shared" si="2"/>
        <v>100</v>
      </c>
      <c r="F30" s="3">
        <f t="shared" si="2"/>
        <v>30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50.495049504950494</v>
      </c>
      <c r="C31" s="3">
        <f t="shared" ref="C31:G31" si="3">C26/C28*100</f>
        <v>100</v>
      </c>
      <c r="D31" s="3">
        <f t="shared" si="3"/>
        <v>31</v>
      </c>
      <c r="E31" s="3">
        <f t="shared" si="3"/>
        <v>0</v>
      </c>
      <c r="F31" s="3">
        <f t="shared" si="3"/>
        <v>70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41.13</v>
      </c>
      <c r="C33" s="3">
        <v>110.49</v>
      </c>
      <c r="D33" s="3">
        <v>10.82</v>
      </c>
      <c r="E33" s="3">
        <v>-1.07</v>
      </c>
      <c r="F33" s="3">
        <v>70.17</v>
      </c>
      <c r="G33" s="3">
        <v>117.71</v>
      </c>
    </row>
    <row r="35" spans="1:7" x14ac:dyDescent="0.25">
      <c r="A35" s="3" t="s">
        <v>36</v>
      </c>
      <c r="B35" s="3"/>
      <c r="C35" s="3"/>
      <c r="D35" s="3">
        <f>D33-C33</f>
        <v>-99.669999999999987</v>
      </c>
      <c r="E35" s="3"/>
      <c r="F35" s="3">
        <f>F33-E33</f>
        <v>71.239999999999995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-11.89</v>
      </c>
      <c r="F37" s="3"/>
      <c r="G37" s="3">
        <f>G33-F33</f>
        <v>47.539999999999992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382F-E635-42FA-B509-0E69FCA9D249}">
  <dimension ref="A1:G37"/>
  <sheetViews>
    <sheetView zoomScale="90" zoomScaleNormal="9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452.85</v>
      </c>
      <c r="C2" s="1">
        <v>452.76</v>
      </c>
      <c r="D2" s="1">
        <v>453.45</v>
      </c>
      <c r="E2" s="1">
        <v>453.89</v>
      </c>
      <c r="F2" s="1">
        <v>470.87</v>
      </c>
      <c r="G2" s="1">
        <v>472.52</v>
      </c>
    </row>
    <row r="3" spans="1:7" x14ac:dyDescent="0.25">
      <c r="A3" s="1" t="s">
        <v>7</v>
      </c>
      <c r="B3" s="1">
        <v>50.09</v>
      </c>
      <c r="C3" s="1">
        <v>50.21</v>
      </c>
      <c r="D3" s="1">
        <v>50.14</v>
      </c>
      <c r="E3" s="1">
        <v>50.21</v>
      </c>
      <c r="F3" s="1">
        <v>49.92</v>
      </c>
      <c r="G3" s="1">
        <v>50.33</v>
      </c>
    </row>
    <row r="4" spans="1:7" x14ac:dyDescent="0.25">
      <c r="A4" s="1" t="s">
        <v>8</v>
      </c>
      <c r="B4" s="1">
        <v>23074.46</v>
      </c>
      <c r="C4" s="1">
        <v>23124.19</v>
      </c>
      <c r="D4" s="1">
        <v>23128.45</v>
      </c>
      <c r="E4" s="1">
        <v>23184.14</v>
      </c>
      <c r="F4" s="1">
        <v>23910.31</v>
      </c>
      <c r="G4" s="1">
        <v>24170.29</v>
      </c>
    </row>
    <row r="5" spans="1:7" x14ac:dyDescent="0.25">
      <c r="A5" s="1" t="s">
        <v>9</v>
      </c>
      <c r="B5" s="1">
        <v>53.32</v>
      </c>
      <c r="C5" s="1">
        <v>72.87</v>
      </c>
      <c r="D5" s="1">
        <v>51.22</v>
      </c>
      <c r="E5" s="1">
        <v>63.81</v>
      </c>
      <c r="F5" s="1">
        <v>405.72</v>
      </c>
      <c r="G5" s="1">
        <v>1013.96</v>
      </c>
    </row>
    <row r="6" spans="1:7" x14ac:dyDescent="0.25">
      <c r="A6" s="3" t="s">
        <v>10</v>
      </c>
      <c r="B6" s="3">
        <v>5.33</v>
      </c>
      <c r="C6" s="3">
        <v>7.36</v>
      </c>
      <c r="D6" s="3">
        <v>5.17</v>
      </c>
      <c r="E6" s="3">
        <v>6.45</v>
      </c>
      <c r="F6" s="3">
        <v>40.98</v>
      </c>
      <c r="G6" s="3">
        <v>103.47</v>
      </c>
    </row>
    <row r="7" spans="1:7" x14ac:dyDescent="0.25">
      <c r="A7" s="1" t="s">
        <v>11</v>
      </c>
      <c r="B7" s="1">
        <v>44.32</v>
      </c>
      <c r="C7" s="1">
        <v>64.52</v>
      </c>
      <c r="D7" s="1">
        <v>43.16</v>
      </c>
      <c r="E7" s="1">
        <v>55.81</v>
      </c>
      <c r="F7" s="1">
        <v>402.02</v>
      </c>
      <c r="G7" s="1">
        <v>990.89</v>
      </c>
    </row>
    <row r="8" spans="1:7" x14ac:dyDescent="0.25">
      <c r="A8" s="1" t="s">
        <v>12</v>
      </c>
      <c r="B8" s="1">
        <v>4.43</v>
      </c>
      <c r="C8" s="1">
        <v>6.52</v>
      </c>
      <c r="D8" s="1">
        <v>4.3600000000000003</v>
      </c>
      <c r="E8" s="1">
        <v>5.64</v>
      </c>
      <c r="F8" s="1">
        <v>40.61</v>
      </c>
      <c r="G8" s="1">
        <v>101.11</v>
      </c>
    </row>
    <row r="9" spans="1:7" x14ac:dyDescent="0.25">
      <c r="A9" s="1" t="s">
        <v>13</v>
      </c>
      <c r="B9" s="1">
        <v>4.9000000000000004</v>
      </c>
      <c r="C9" s="1">
        <v>6.42</v>
      </c>
      <c r="D9" s="1">
        <v>-4.79</v>
      </c>
      <c r="E9" s="1">
        <v>-6.07</v>
      </c>
      <c r="F9" s="1">
        <v>378.05</v>
      </c>
      <c r="G9" s="1">
        <v>990.89</v>
      </c>
    </row>
    <row r="10" spans="1:7" x14ac:dyDescent="0.25">
      <c r="A10" s="1" t="s">
        <v>14</v>
      </c>
      <c r="B10" s="1">
        <v>0.49</v>
      </c>
      <c r="C10" s="1">
        <v>0.65</v>
      </c>
      <c r="D10" s="1">
        <v>-0.48</v>
      </c>
      <c r="E10" s="1">
        <v>-0.61</v>
      </c>
      <c r="F10" s="1">
        <v>38.19</v>
      </c>
      <c r="G10" s="1">
        <v>101.11</v>
      </c>
    </row>
    <row r="11" spans="1:7" x14ac:dyDescent="0.25">
      <c r="A11" s="1" t="s">
        <v>15</v>
      </c>
      <c r="B11" s="1">
        <v>0.86</v>
      </c>
      <c r="C11" s="1">
        <v>1.42</v>
      </c>
      <c r="D11" s="1">
        <v>1.1200000000000001</v>
      </c>
      <c r="E11" s="1">
        <v>1.19</v>
      </c>
      <c r="F11" s="1">
        <v>340.44</v>
      </c>
      <c r="G11" s="1">
        <v>874.33</v>
      </c>
    </row>
    <row r="12" spans="1:7" x14ac:dyDescent="0.25">
      <c r="A12" s="1" t="s">
        <v>16</v>
      </c>
      <c r="B12" s="1">
        <v>195.77</v>
      </c>
      <c r="C12" s="1">
        <v>198.46</v>
      </c>
      <c r="D12" s="1">
        <v>212.09</v>
      </c>
      <c r="E12" s="1">
        <v>211.53</v>
      </c>
      <c r="F12" s="1">
        <v>234.83</v>
      </c>
      <c r="G12" s="1">
        <v>247.78</v>
      </c>
    </row>
    <row r="13" spans="1:7" x14ac:dyDescent="0.25">
      <c r="A13" s="1" t="s">
        <v>17</v>
      </c>
      <c r="B13" s="1">
        <v>20.2</v>
      </c>
      <c r="C13" s="1">
        <v>20.43</v>
      </c>
      <c r="D13" s="1">
        <v>20.51</v>
      </c>
      <c r="E13" s="1">
        <v>20.38</v>
      </c>
      <c r="F13" s="1">
        <v>20.05</v>
      </c>
      <c r="G13" s="1">
        <v>22.64</v>
      </c>
    </row>
    <row r="14" spans="1:7" x14ac:dyDescent="0.25">
      <c r="A14" s="1" t="s">
        <v>18</v>
      </c>
      <c r="B14" s="1">
        <v>22.45</v>
      </c>
      <c r="C14" s="1">
        <v>22.99</v>
      </c>
      <c r="D14" s="1">
        <v>22.71</v>
      </c>
      <c r="E14" s="1">
        <v>23.31</v>
      </c>
      <c r="F14" s="1">
        <v>66.22</v>
      </c>
      <c r="G14" s="1">
        <v>53.89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24.61</v>
      </c>
      <c r="C17" s="1">
        <v>35.47</v>
      </c>
      <c r="D17" s="1">
        <v>19.190000000000001</v>
      </c>
      <c r="E17" s="1">
        <v>24.87</v>
      </c>
      <c r="F17" s="1">
        <v>390.04</v>
      </c>
      <c r="G17" s="1">
        <v>990.89</v>
      </c>
    </row>
    <row r="18" spans="1:7" x14ac:dyDescent="0.25">
      <c r="A18" s="1" t="s">
        <v>22</v>
      </c>
      <c r="B18" s="1">
        <v>19.71</v>
      </c>
      <c r="C18" s="1">
        <v>29.05</v>
      </c>
      <c r="D18" s="1">
        <v>23.97</v>
      </c>
      <c r="E18" s="1">
        <v>30.94</v>
      </c>
      <c r="F18" s="1">
        <v>11.98</v>
      </c>
      <c r="G18" s="1">
        <v>0</v>
      </c>
    </row>
    <row r="19" spans="1:7" x14ac:dyDescent="0.25">
      <c r="A19" s="1" t="s">
        <v>23</v>
      </c>
      <c r="B19" s="1">
        <v>2</v>
      </c>
      <c r="C19" s="1">
        <v>1</v>
      </c>
      <c r="D19" s="1">
        <v>2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2.1</v>
      </c>
      <c r="C20" s="1">
        <v>1.1000000000000001</v>
      </c>
      <c r="D20" s="1">
        <v>2.4</v>
      </c>
      <c r="E20" s="1">
        <v>1.4</v>
      </c>
      <c r="F20" s="1">
        <v>0</v>
      </c>
      <c r="G20" s="1">
        <v>0</v>
      </c>
    </row>
    <row r="21" spans="1:7" x14ac:dyDescent="0.25">
      <c r="A21" s="1" t="s">
        <v>25</v>
      </c>
      <c r="B21" s="1">
        <v>8</v>
      </c>
      <c r="C21" s="1">
        <v>8.9</v>
      </c>
      <c r="D21" s="1">
        <v>7.6</v>
      </c>
      <c r="E21" s="1">
        <v>8.6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5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50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50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0.06</v>
      </c>
      <c r="C33" s="3">
        <v>0.28999999999999998</v>
      </c>
      <c r="D33" s="3">
        <v>-0.24</v>
      </c>
      <c r="E33" s="3">
        <v>-0.22</v>
      </c>
      <c r="F33" s="3">
        <v>36.43</v>
      </c>
      <c r="G33" s="3">
        <v>103.59</v>
      </c>
    </row>
    <row r="35" spans="1:7" x14ac:dyDescent="0.25">
      <c r="A35" s="3" t="s">
        <v>36</v>
      </c>
      <c r="B35" s="3"/>
      <c r="C35" s="3"/>
      <c r="D35" s="3">
        <f>D33-C33</f>
        <v>-0.53</v>
      </c>
      <c r="E35" s="3"/>
      <c r="F35" s="3">
        <f>F33-E33</f>
        <v>36.65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1.999999999999999E-2</v>
      </c>
      <c r="F37" s="3"/>
      <c r="G37" s="3">
        <f>G33-F33</f>
        <v>67.16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D66A-0C87-49B7-820D-07819A52F521}">
  <dimension ref="A1:G37"/>
  <sheetViews>
    <sheetView tabSelected="1" zoomScale="90" zoomScaleNormal="90" workbookViewId="0">
      <selection activeCell="P24" sqref="P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474.64</v>
      </c>
      <c r="C2" s="1">
        <v>475.15</v>
      </c>
      <c r="D2" s="1">
        <v>453.68</v>
      </c>
      <c r="E2" s="1">
        <v>454.42</v>
      </c>
      <c r="F2" s="1">
        <v>412.67</v>
      </c>
      <c r="G2" s="1">
        <v>447.41</v>
      </c>
    </row>
    <row r="3" spans="1:7" x14ac:dyDescent="0.25">
      <c r="A3" s="1" t="s">
        <v>7</v>
      </c>
      <c r="B3" s="1">
        <v>43.66</v>
      </c>
      <c r="C3" s="1">
        <v>43.58</v>
      </c>
      <c r="D3" s="1">
        <v>43.57</v>
      </c>
      <c r="E3" s="1">
        <v>42.99</v>
      </c>
      <c r="F3" s="1">
        <v>41.89</v>
      </c>
      <c r="G3" s="1">
        <v>44.81</v>
      </c>
    </row>
    <row r="4" spans="1:7" x14ac:dyDescent="0.25">
      <c r="A4" s="1" t="s">
        <v>8</v>
      </c>
      <c r="B4" s="1">
        <v>21077</v>
      </c>
      <c r="C4" s="1">
        <v>21061.66</v>
      </c>
      <c r="D4" s="1">
        <v>20107.86</v>
      </c>
      <c r="E4" s="1">
        <v>19871.02</v>
      </c>
      <c r="F4" s="1">
        <v>17646.560000000001</v>
      </c>
      <c r="G4" s="1">
        <v>20393.59</v>
      </c>
    </row>
    <row r="5" spans="1:7" x14ac:dyDescent="0.25">
      <c r="A5" s="1" t="s">
        <v>9</v>
      </c>
      <c r="B5" s="1">
        <v>49.89</v>
      </c>
      <c r="C5" s="1">
        <v>36.17</v>
      </c>
      <c r="D5" s="1">
        <v>82.5</v>
      </c>
      <c r="E5" s="1">
        <v>41.2</v>
      </c>
      <c r="F5" s="1">
        <v>293.77999999999997</v>
      </c>
      <c r="G5" s="1">
        <v>915.36</v>
      </c>
    </row>
    <row r="6" spans="1:7" x14ac:dyDescent="0.25">
      <c r="A6" s="3" t="s">
        <v>10</v>
      </c>
      <c r="B6" s="3">
        <v>4.99</v>
      </c>
      <c r="C6" s="3">
        <v>3.65</v>
      </c>
      <c r="D6" s="3">
        <v>8.33</v>
      </c>
      <c r="E6" s="3">
        <v>4.16</v>
      </c>
      <c r="F6" s="3">
        <v>29.68</v>
      </c>
      <c r="G6" s="3">
        <v>93.4</v>
      </c>
    </row>
    <row r="7" spans="1:7" x14ac:dyDescent="0.25">
      <c r="A7" s="1" t="s">
        <v>11</v>
      </c>
      <c r="B7" s="1">
        <v>45.6</v>
      </c>
      <c r="C7" s="1">
        <v>28.2</v>
      </c>
      <c r="D7" s="1">
        <v>76.33</v>
      </c>
      <c r="E7" s="1">
        <v>32.64</v>
      </c>
      <c r="F7" s="1">
        <v>280.05</v>
      </c>
      <c r="G7" s="1">
        <v>899.88</v>
      </c>
    </row>
    <row r="8" spans="1:7" x14ac:dyDescent="0.25">
      <c r="A8" s="1" t="s">
        <v>12</v>
      </c>
      <c r="B8" s="1">
        <v>4.5599999999999996</v>
      </c>
      <c r="C8" s="1">
        <v>2.85</v>
      </c>
      <c r="D8" s="1">
        <v>7.71</v>
      </c>
      <c r="E8" s="1">
        <v>3.3</v>
      </c>
      <c r="F8" s="1">
        <v>28.29</v>
      </c>
      <c r="G8" s="1">
        <v>91.82</v>
      </c>
    </row>
    <row r="9" spans="1:7" x14ac:dyDescent="0.25">
      <c r="A9" s="1" t="s">
        <v>13</v>
      </c>
      <c r="B9" s="1">
        <v>-4.2300000000000004</v>
      </c>
      <c r="C9" s="1">
        <v>-2.5499999999999998</v>
      </c>
      <c r="D9" s="1">
        <v>-51.25</v>
      </c>
      <c r="E9" s="1">
        <v>-2.85</v>
      </c>
      <c r="F9" s="1">
        <v>257.10000000000002</v>
      </c>
      <c r="G9" s="1">
        <v>899.88</v>
      </c>
    </row>
    <row r="10" spans="1:7" x14ac:dyDescent="0.25">
      <c r="A10" s="1" t="s">
        <v>14</v>
      </c>
      <c r="B10" s="1">
        <v>-0.42</v>
      </c>
      <c r="C10" s="1">
        <v>-0.26</v>
      </c>
      <c r="D10" s="1">
        <v>-5.18</v>
      </c>
      <c r="E10" s="1">
        <v>-0.28999999999999998</v>
      </c>
      <c r="F10" s="1">
        <v>25.97</v>
      </c>
      <c r="G10" s="1">
        <v>91.82</v>
      </c>
    </row>
    <row r="11" spans="1:7" x14ac:dyDescent="0.25">
      <c r="A11" s="1" t="s">
        <v>15</v>
      </c>
      <c r="B11" s="1">
        <v>1.37</v>
      </c>
      <c r="C11" s="1">
        <v>2.06</v>
      </c>
      <c r="D11" s="1">
        <v>41.63</v>
      </c>
      <c r="E11" s="1">
        <v>1.68</v>
      </c>
      <c r="F11" s="1">
        <v>251.26</v>
      </c>
      <c r="G11" s="1">
        <v>808.81</v>
      </c>
    </row>
    <row r="12" spans="1:7" x14ac:dyDescent="0.25">
      <c r="A12" s="1" t="s">
        <v>16</v>
      </c>
      <c r="B12" s="1">
        <v>271.88</v>
      </c>
      <c r="C12" s="1">
        <v>280.32</v>
      </c>
      <c r="D12" s="1">
        <v>278.3</v>
      </c>
      <c r="E12" s="1">
        <v>277.95999999999998</v>
      </c>
      <c r="F12" s="1">
        <v>249.26</v>
      </c>
      <c r="G12" s="1">
        <v>246.59</v>
      </c>
    </row>
    <row r="13" spans="1:7" x14ac:dyDescent="0.25">
      <c r="A13" s="1" t="s">
        <v>17</v>
      </c>
      <c r="B13" s="1">
        <v>4.3099999999999996</v>
      </c>
      <c r="C13" s="1">
        <v>3.97</v>
      </c>
      <c r="D13" s="1">
        <v>29.74</v>
      </c>
      <c r="E13" s="1">
        <v>36.57</v>
      </c>
      <c r="F13" s="1">
        <v>24.72</v>
      </c>
      <c r="G13" s="1">
        <v>25.3</v>
      </c>
    </row>
    <row r="14" spans="1:7" x14ac:dyDescent="0.25">
      <c r="A14" s="1" t="s">
        <v>18</v>
      </c>
      <c r="B14" s="1">
        <v>8.18</v>
      </c>
      <c r="C14" s="1">
        <v>7.71</v>
      </c>
      <c r="D14" s="1">
        <v>41.42</v>
      </c>
      <c r="E14" s="1">
        <v>39</v>
      </c>
      <c r="F14" s="1">
        <v>38.200000000000003</v>
      </c>
      <c r="G14" s="1">
        <v>47.21</v>
      </c>
    </row>
    <row r="15" spans="1:7" x14ac:dyDescent="0.25">
      <c r="A15" s="1" t="s">
        <v>19</v>
      </c>
      <c r="B15" s="1">
        <v>0</v>
      </c>
      <c r="C15" s="1">
        <v>0</v>
      </c>
      <c r="D15" s="1">
        <v>1</v>
      </c>
      <c r="E15" s="1">
        <v>1</v>
      </c>
      <c r="F15" s="1">
        <v>2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20.69</v>
      </c>
      <c r="C17" s="1">
        <v>12.83</v>
      </c>
      <c r="D17" s="1">
        <v>12.54</v>
      </c>
      <c r="E17" s="1">
        <v>14.9</v>
      </c>
      <c r="F17" s="1">
        <v>268.58</v>
      </c>
      <c r="G17" s="1">
        <v>899.88</v>
      </c>
    </row>
    <row r="18" spans="1:7" x14ac:dyDescent="0.25">
      <c r="A18" s="1" t="s">
        <v>22</v>
      </c>
      <c r="B18" s="1">
        <v>24.92</v>
      </c>
      <c r="C18" s="1">
        <v>15.37</v>
      </c>
      <c r="D18" s="1">
        <v>63.79</v>
      </c>
      <c r="E18" s="1">
        <v>17.739999999999998</v>
      </c>
      <c r="F18" s="1">
        <v>11.47</v>
      </c>
      <c r="G18" s="1">
        <v>0</v>
      </c>
    </row>
    <row r="19" spans="1:7" x14ac:dyDescent="0.25">
      <c r="A19" s="1" t="s">
        <v>23</v>
      </c>
      <c r="B19" s="1">
        <v>2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2</v>
      </c>
      <c r="C20" s="1">
        <v>2</v>
      </c>
      <c r="D20" s="1">
        <v>4.5999999999999996</v>
      </c>
      <c r="E20" s="1">
        <v>1.5</v>
      </c>
      <c r="F20" s="1">
        <v>0</v>
      </c>
      <c r="G20" s="1">
        <v>0</v>
      </c>
    </row>
    <row r="21" spans="1:7" x14ac:dyDescent="0.25">
      <c r="A21" s="1" t="s">
        <v>25</v>
      </c>
      <c r="B21" s="1">
        <v>8.1</v>
      </c>
      <c r="C21" s="1">
        <v>8</v>
      </c>
      <c r="D21" s="1">
        <v>5.4</v>
      </c>
      <c r="E21" s="1">
        <v>8.5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7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70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30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-0.16</v>
      </c>
      <c r="C33" s="3">
        <v>-0.03</v>
      </c>
      <c r="D33" s="3">
        <v>-4.32</v>
      </c>
      <c r="E33" s="3">
        <v>-0.16</v>
      </c>
      <c r="F33" s="3">
        <v>24.31</v>
      </c>
      <c r="G33" s="3">
        <v>93.1</v>
      </c>
    </row>
    <row r="35" spans="1:7" x14ac:dyDescent="0.25">
      <c r="A35" s="3" t="s">
        <v>36</v>
      </c>
      <c r="B35" s="3"/>
      <c r="C35" s="3"/>
      <c r="D35" s="3">
        <f>D33-C33</f>
        <v>-4.29</v>
      </c>
      <c r="E35" s="3"/>
      <c r="F35" s="3">
        <f>F33-E33</f>
        <v>24.47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4.16</v>
      </c>
      <c r="F37" s="3"/>
      <c r="G37" s="3">
        <f>G33-F33</f>
        <v>68.789999999999992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C2B4-F448-498E-997C-66DFD4436AE2}">
  <dimension ref="A1:G37"/>
  <sheetViews>
    <sheetView zoomScale="90" zoomScaleNormal="90" workbookViewId="0">
      <selection activeCell="L24" sqref="L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240801B001.1</vt:lpstr>
      <vt:lpstr>240801B001.2</vt:lpstr>
      <vt:lpstr>240801B001.3</vt:lpstr>
      <vt:lpstr>240801B002.1</vt:lpstr>
      <vt:lpstr>240801B002.2</vt:lpstr>
      <vt:lpstr>240801B002.3</vt:lpstr>
      <vt:lpstr>240801B003.3</vt:lpstr>
      <vt:lpstr>240801B003.4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2024-08-18T22:49:23Z</dcterms:created>
  <dcterms:modified xsi:type="dcterms:W3CDTF">2024-08-18T23:56:04Z</dcterms:modified>
</cp:coreProperties>
</file>