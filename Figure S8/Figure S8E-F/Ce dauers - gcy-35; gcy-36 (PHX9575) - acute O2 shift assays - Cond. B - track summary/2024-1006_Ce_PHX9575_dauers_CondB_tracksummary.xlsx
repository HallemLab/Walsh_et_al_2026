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575\2024-1006\WormLab Data\"/>
    </mc:Choice>
  </mc:AlternateContent>
  <xr:revisionPtr revIDLastSave="0" documentId="13_ncr:1_{F0221B1F-AEF1-4B6D-8CB6-FF83BBA76116}" xr6:coauthVersionLast="36" xr6:coauthVersionMax="36" xr10:uidLastSave="{00000000-0000-0000-0000-000000000000}"/>
  <bookViews>
    <workbookView xWindow="0" yWindow="0" windowWidth="24360" windowHeight="10935" firstSheet="2" activeTab="8" xr2:uid="{3944D260-0502-4045-B089-4FA10CC00F78}"/>
  </bookViews>
  <sheets>
    <sheet name="241006B001.2" sheetId="2" r:id="rId1"/>
    <sheet name="241006B001.3" sheetId="3" r:id="rId2"/>
    <sheet name="241006B001.4" sheetId="4" r:id="rId3"/>
    <sheet name="241006B002.1" sheetId="5" r:id="rId4"/>
    <sheet name="241006B002.2" sheetId="6" r:id="rId5"/>
    <sheet name="241006B002.3" sheetId="7" r:id="rId6"/>
    <sheet name="241006B002.4" sheetId="8" r:id="rId7"/>
    <sheet name="241006B003.2" sheetId="9" r:id="rId8"/>
    <sheet name="241006B003.4" sheetId="10" r:id="rId9"/>
    <sheet name="template" sheetId="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0" l="1"/>
  <c r="E37" i="10"/>
  <c r="C37" i="10"/>
  <c r="F35" i="10"/>
  <c r="D35" i="10"/>
  <c r="C31" i="10"/>
  <c r="D30" i="10"/>
  <c r="C30" i="10"/>
  <c r="B30" i="10"/>
  <c r="F29" i="10"/>
  <c r="G28" i="10"/>
  <c r="G31" i="10" s="1"/>
  <c r="F28" i="10"/>
  <c r="F31" i="10" s="1"/>
  <c r="E28" i="10"/>
  <c r="E31" i="10" s="1"/>
  <c r="D28" i="10"/>
  <c r="D29" i="10" s="1"/>
  <c r="C28" i="10"/>
  <c r="C29" i="10" s="1"/>
  <c r="B28" i="10"/>
  <c r="B29" i="10" s="1"/>
  <c r="G37" i="9"/>
  <c r="E37" i="9"/>
  <c r="C37" i="9"/>
  <c r="F35" i="9"/>
  <c r="D35" i="9"/>
  <c r="C31" i="9"/>
  <c r="C30" i="9"/>
  <c r="G28" i="9"/>
  <c r="G31" i="9" s="1"/>
  <c r="F28" i="9"/>
  <c r="F31" i="9" s="1"/>
  <c r="E28" i="9"/>
  <c r="E31" i="9" s="1"/>
  <c r="D28" i="9"/>
  <c r="D29" i="9" s="1"/>
  <c r="C28" i="9"/>
  <c r="C29" i="9" s="1"/>
  <c r="B28" i="9"/>
  <c r="B29" i="9" s="1"/>
  <c r="G37" i="8"/>
  <c r="E37" i="8"/>
  <c r="C37" i="8"/>
  <c r="F35" i="8"/>
  <c r="D35" i="8"/>
  <c r="D30" i="8"/>
  <c r="C30" i="8"/>
  <c r="B30" i="8"/>
  <c r="G28" i="8"/>
  <c r="G29" i="8" s="1"/>
  <c r="F28" i="8"/>
  <c r="F31" i="8" s="1"/>
  <c r="E28" i="8"/>
  <c r="E31" i="8" s="1"/>
  <c r="D28" i="8"/>
  <c r="D29" i="8" s="1"/>
  <c r="C28" i="8"/>
  <c r="C29" i="8" s="1"/>
  <c r="B28" i="8"/>
  <c r="B29" i="8" s="1"/>
  <c r="G37" i="7"/>
  <c r="E37" i="7"/>
  <c r="C37" i="7"/>
  <c r="F35" i="7"/>
  <c r="D35" i="7"/>
  <c r="C31" i="7"/>
  <c r="E30" i="7"/>
  <c r="D30" i="7"/>
  <c r="C30" i="7"/>
  <c r="B30" i="7"/>
  <c r="E29" i="7"/>
  <c r="G28" i="7"/>
  <c r="G29" i="7" s="1"/>
  <c r="F28" i="7"/>
  <c r="F31" i="7" s="1"/>
  <c r="E28" i="7"/>
  <c r="E31" i="7" s="1"/>
  <c r="D28" i="7"/>
  <c r="D29" i="7" s="1"/>
  <c r="C28" i="7"/>
  <c r="C29" i="7" s="1"/>
  <c r="B28" i="7"/>
  <c r="B29" i="7" s="1"/>
  <c r="G37" i="6"/>
  <c r="E37" i="6"/>
  <c r="C37" i="6"/>
  <c r="F35" i="6"/>
  <c r="D35" i="6"/>
  <c r="D31" i="6"/>
  <c r="C31" i="6"/>
  <c r="D30" i="6"/>
  <c r="C30" i="6"/>
  <c r="B30" i="6"/>
  <c r="F29" i="6"/>
  <c r="G28" i="6"/>
  <c r="G31" i="6" s="1"/>
  <c r="F28" i="6"/>
  <c r="F30" i="6" s="1"/>
  <c r="E28" i="6"/>
  <c r="E29" i="6" s="1"/>
  <c r="D28" i="6"/>
  <c r="D29" i="6" s="1"/>
  <c r="C28" i="6"/>
  <c r="C29" i="6" s="1"/>
  <c r="B28" i="6"/>
  <c r="B29" i="6" s="1"/>
  <c r="G37" i="5"/>
  <c r="E37" i="5"/>
  <c r="C37" i="5"/>
  <c r="F35" i="5"/>
  <c r="D35" i="5"/>
  <c r="G28" i="5"/>
  <c r="G31" i="5" s="1"/>
  <c r="F28" i="5"/>
  <c r="F31" i="5" s="1"/>
  <c r="E28" i="5"/>
  <c r="E29" i="5" s="1"/>
  <c r="D28" i="5"/>
  <c r="D29" i="5" s="1"/>
  <c r="C28" i="5"/>
  <c r="C29" i="5" s="1"/>
  <c r="B28" i="5"/>
  <c r="B31" i="5" s="1"/>
  <c r="G37" i="4"/>
  <c r="E37" i="4"/>
  <c r="C37" i="4"/>
  <c r="F35" i="4"/>
  <c r="D35" i="4"/>
  <c r="E29" i="4"/>
  <c r="G28" i="4"/>
  <c r="G31" i="4" s="1"/>
  <c r="F28" i="4"/>
  <c r="F31" i="4" s="1"/>
  <c r="E28" i="4"/>
  <c r="E31" i="4" s="1"/>
  <c r="D28" i="4"/>
  <c r="D29" i="4" s="1"/>
  <c r="C28" i="4"/>
  <c r="C29" i="4" s="1"/>
  <c r="B28" i="4"/>
  <c r="B31" i="4" s="1"/>
  <c r="G37" i="3"/>
  <c r="E37" i="3"/>
  <c r="C37" i="3"/>
  <c r="F35" i="3"/>
  <c r="D35" i="3"/>
  <c r="G28" i="3"/>
  <c r="G29" i="3" s="1"/>
  <c r="F28" i="3"/>
  <c r="F29" i="3" s="1"/>
  <c r="E28" i="3"/>
  <c r="E29" i="3" s="1"/>
  <c r="D28" i="3"/>
  <c r="D30" i="3" s="1"/>
  <c r="C28" i="3"/>
  <c r="C30" i="3" s="1"/>
  <c r="B28" i="3"/>
  <c r="B30" i="3" s="1"/>
  <c r="G37" i="2"/>
  <c r="E37" i="2"/>
  <c r="C37" i="2"/>
  <c r="F35" i="2"/>
  <c r="D35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G28" i="2"/>
  <c r="G31" i="2" s="1"/>
  <c r="F28" i="2"/>
  <c r="E28" i="2"/>
  <c r="D28" i="2"/>
  <c r="C28" i="2"/>
  <c r="B28" i="2"/>
  <c r="G37" i="1"/>
  <c r="E37" i="1"/>
  <c r="C37" i="1"/>
  <c r="F35" i="1"/>
  <c r="D35" i="1"/>
  <c r="E31" i="1"/>
  <c r="B31" i="1"/>
  <c r="G28" i="1"/>
  <c r="G31" i="1" s="1"/>
  <c r="F28" i="1"/>
  <c r="F31" i="1" s="1"/>
  <c r="E28" i="1"/>
  <c r="E30" i="1" s="1"/>
  <c r="D28" i="1"/>
  <c r="D31" i="1" s="1"/>
  <c r="C28" i="1"/>
  <c r="C31" i="1" s="1"/>
  <c r="B28" i="1"/>
  <c r="B29" i="1" s="1"/>
  <c r="E30" i="10" l="1"/>
  <c r="F30" i="10"/>
  <c r="E29" i="10"/>
  <c r="G30" i="10"/>
  <c r="G29" i="10"/>
  <c r="B31" i="10"/>
  <c r="D31" i="10"/>
  <c r="G29" i="9"/>
  <c r="D30" i="9"/>
  <c r="F30" i="9"/>
  <c r="F29" i="9"/>
  <c r="B31" i="9"/>
  <c r="B30" i="9"/>
  <c r="E30" i="9"/>
  <c r="E29" i="9"/>
  <c r="G30" i="9"/>
  <c r="D31" i="9"/>
  <c r="F29" i="8"/>
  <c r="E30" i="8"/>
  <c r="F30" i="8"/>
  <c r="E29" i="8"/>
  <c r="G30" i="8"/>
  <c r="B31" i="8"/>
  <c r="G31" i="8"/>
  <c r="C31" i="8"/>
  <c r="D31" i="8"/>
  <c r="F30" i="7"/>
  <c r="G30" i="7"/>
  <c r="B31" i="7"/>
  <c r="F29" i="7"/>
  <c r="G31" i="7"/>
  <c r="D31" i="7"/>
  <c r="E30" i="6"/>
  <c r="E31" i="6"/>
  <c r="G29" i="6"/>
  <c r="F31" i="6"/>
  <c r="G30" i="6"/>
  <c r="B31" i="6"/>
  <c r="F29" i="5"/>
  <c r="G29" i="5"/>
  <c r="B30" i="5"/>
  <c r="E30" i="5"/>
  <c r="B29" i="5"/>
  <c r="E31" i="5"/>
  <c r="D30" i="5"/>
  <c r="C30" i="5"/>
  <c r="F30" i="5"/>
  <c r="G30" i="5"/>
  <c r="C31" i="5"/>
  <c r="D31" i="5"/>
  <c r="B30" i="4"/>
  <c r="C30" i="4"/>
  <c r="D30" i="4"/>
  <c r="E30" i="4"/>
  <c r="G29" i="4"/>
  <c r="B29" i="4"/>
  <c r="F30" i="4"/>
  <c r="G30" i="4"/>
  <c r="C31" i="4"/>
  <c r="D31" i="4"/>
  <c r="F29" i="4"/>
  <c r="D31" i="3"/>
  <c r="E30" i="3"/>
  <c r="E31" i="3"/>
  <c r="F30" i="3"/>
  <c r="G30" i="3"/>
  <c r="B31" i="3"/>
  <c r="C31" i="3"/>
  <c r="F31" i="3"/>
  <c r="G31" i="3"/>
  <c r="C29" i="3"/>
  <c r="D29" i="3"/>
  <c r="B29" i="3"/>
  <c r="G29" i="2"/>
  <c r="G30" i="2"/>
  <c r="D29" i="1"/>
  <c r="E29" i="1"/>
  <c r="F29" i="1"/>
  <c r="G29" i="1"/>
  <c r="B30" i="1"/>
  <c r="C30" i="1"/>
  <c r="D30" i="1"/>
  <c r="F30" i="1"/>
  <c r="C29" i="1"/>
  <c r="G30" i="1"/>
</calcChain>
</file>

<file path=xl/sharedStrings.xml><?xml version="1.0" encoding="utf-8"?>
<sst xmlns="http://schemas.openxmlformats.org/spreadsheetml/2006/main" count="380" uniqueCount="37">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</sst>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C199-B764-46B2-AB97-F7531AEAAA5A}">
  <dimension ref="A1:G37"/>
  <sheetViews>
    <sheetView zoomScale="80" zoomScaleNormal="80" workbookViewId="0">
      <selection activeCell="K23" sqref="K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341.78</v>
      </c>
      <c r="C2" s="1">
        <v>374.27</v>
      </c>
      <c r="D2" s="1">
        <v>353.96</v>
      </c>
      <c r="E2" s="1">
        <v>355.49</v>
      </c>
      <c r="F2" s="1">
        <v>367.45</v>
      </c>
      <c r="G2" s="1">
        <v>382.15</v>
      </c>
    </row>
    <row r="3" spans="1:7" x14ac:dyDescent="0.25">
      <c r="A3" s="1" t="s">
        <v>7</v>
      </c>
      <c r="B3" s="1">
        <v>40.130000000000003</v>
      </c>
      <c r="C3" s="1">
        <v>42.23</v>
      </c>
      <c r="D3" s="1">
        <v>43.44</v>
      </c>
      <c r="E3" s="1">
        <v>51.15</v>
      </c>
      <c r="F3" s="1">
        <v>47.62</v>
      </c>
      <c r="G3" s="1">
        <v>46.19</v>
      </c>
    </row>
    <row r="4" spans="1:7" x14ac:dyDescent="0.25">
      <c r="A4" s="1" t="s">
        <v>8</v>
      </c>
      <c r="B4" s="1">
        <v>13913.32</v>
      </c>
      <c r="C4" s="1">
        <v>16063.7</v>
      </c>
      <c r="D4" s="1">
        <v>15596.28</v>
      </c>
      <c r="E4" s="1">
        <v>18497.3</v>
      </c>
      <c r="F4" s="1">
        <v>17821.37</v>
      </c>
      <c r="G4" s="1">
        <v>17919.650000000001</v>
      </c>
    </row>
    <row r="5" spans="1:7" x14ac:dyDescent="0.25">
      <c r="A5" s="1" t="s">
        <v>9</v>
      </c>
      <c r="B5" s="1">
        <v>1492.7</v>
      </c>
      <c r="C5" s="1">
        <v>1695.14</v>
      </c>
      <c r="D5" s="1">
        <v>1207.0999999999999</v>
      </c>
      <c r="E5" s="1">
        <v>421.06</v>
      </c>
      <c r="F5" s="1">
        <v>674.33</v>
      </c>
      <c r="G5" s="1">
        <v>696.24</v>
      </c>
    </row>
    <row r="6" spans="1:7" x14ac:dyDescent="0.25">
      <c r="A6" s="3" t="s">
        <v>10</v>
      </c>
      <c r="B6" s="3">
        <v>149.27000000000001</v>
      </c>
      <c r="C6" s="3">
        <v>171.23</v>
      </c>
      <c r="D6" s="3">
        <v>121.93</v>
      </c>
      <c r="E6" s="3">
        <v>42.53</v>
      </c>
      <c r="F6" s="3">
        <v>68.11</v>
      </c>
      <c r="G6" s="3">
        <v>71.040000000000006</v>
      </c>
    </row>
    <row r="7" spans="1:7" x14ac:dyDescent="0.25">
      <c r="A7" s="1" t="s">
        <v>11</v>
      </c>
      <c r="B7" s="1">
        <v>1417.71</v>
      </c>
      <c r="C7" s="1">
        <v>1572.37</v>
      </c>
      <c r="D7" s="1">
        <v>1144.8599999999999</v>
      </c>
      <c r="E7" s="1">
        <v>401.35</v>
      </c>
      <c r="F7" s="1">
        <v>657.75</v>
      </c>
      <c r="G7" s="1">
        <v>670.67</v>
      </c>
    </row>
    <row r="8" spans="1:7" x14ac:dyDescent="0.25">
      <c r="A8" s="1" t="s">
        <v>12</v>
      </c>
      <c r="B8" s="1">
        <v>141.77000000000001</v>
      </c>
      <c r="C8" s="1">
        <v>158.83000000000001</v>
      </c>
      <c r="D8" s="1">
        <v>115.64</v>
      </c>
      <c r="E8" s="1">
        <v>40.54</v>
      </c>
      <c r="F8" s="1">
        <v>66.44</v>
      </c>
      <c r="G8" s="1">
        <v>68.44</v>
      </c>
    </row>
    <row r="9" spans="1:7" x14ac:dyDescent="0.25">
      <c r="A9" s="1" t="s">
        <v>13</v>
      </c>
      <c r="B9" s="1">
        <v>1417.71</v>
      </c>
      <c r="C9" s="1">
        <v>1572.37</v>
      </c>
      <c r="D9" s="1">
        <v>1094.07</v>
      </c>
      <c r="E9" s="1">
        <v>373.45</v>
      </c>
      <c r="F9" s="1">
        <v>598.98</v>
      </c>
      <c r="G9" s="1">
        <v>274.23</v>
      </c>
    </row>
    <row r="10" spans="1:7" x14ac:dyDescent="0.25">
      <c r="A10" s="1" t="s">
        <v>14</v>
      </c>
      <c r="B10" s="1">
        <v>141.77000000000001</v>
      </c>
      <c r="C10" s="1">
        <v>158.83000000000001</v>
      </c>
      <c r="D10" s="1">
        <v>110.51</v>
      </c>
      <c r="E10" s="1">
        <v>37.72</v>
      </c>
      <c r="F10" s="1">
        <v>60.5</v>
      </c>
      <c r="G10" s="1">
        <v>27.98</v>
      </c>
    </row>
    <row r="11" spans="1:7" x14ac:dyDescent="0.25">
      <c r="A11" s="1" t="s">
        <v>15</v>
      </c>
      <c r="B11" s="1">
        <v>1318.04</v>
      </c>
      <c r="C11" s="1">
        <v>1509.55</v>
      </c>
      <c r="D11" s="1">
        <v>1010.01</v>
      </c>
      <c r="E11" s="1">
        <v>315.82</v>
      </c>
      <c r="F11" s="1">
        <v>422.58</v>
      </c>
      <c r="G11" s="1">
        <v>86.27</v>
      </c>
    </row>
    <row r="12" spans="1:7" x14ac:dyDescent="0.25">
      <c r="A12" s="1" t="s">
        <v>16</v>
      </c>
      <c r="B12" s="1">
        <v>213.96</v>
      </c>
      <c r="C12" s="1">
        <v>250.29</v>
      </c>
      <c r="D12" s="1">
        <v>210.93</v>
      </c>
      <c r="E12" s="1">
        <v>183.68</v>
      </c>
      <c r="F12" s="1">
        <v>206.46</v>
      </c>
      <c r="G12" s="1">
        <v>221.99</v>
      </c>
    </row>
    <row r="13" spans="1:7" x14ac:dyDescent="0.25">
      <c r="A13" s="1" t="s">
        <v>17</v>
      </c>
      <c r="B13" s="1">
        <v>21.33</v>
      </c>
      <c r="C13" s="1">
        <v>23.04</v>
      </c>
      <c r="D13" s="1">
        <v>20.11</v>
      </c>
      <c r="E13" s="1">
        <v>22.69</v>
      </c>
      <c r="F13" s="1">
        <v>30.96</v>
      </c>
      <c r="G13" s="1">
        <v>43.09</v>
      </c>
    </row>
    <row r="14" spans="1:7" x14ac:dyDescent="0.25">
      <c r="A14" s="1" t="s">
        <v>18</v>
      </c>
      <c r="B14" s="1">
        <v>46.85</v>
      </c>
      <c r="C14" s="1">
        <v>51.45</v>
      </c>
      <c r="D14" s="1">
        <v>46.42</v>
      </c>
      <c r="E14" s="1">
        <v>58.67</v>
      </c>
      <c r="F14" s="1">
        <v>58.51</v>
      </c>
      <c r="G14" s="1">
        <v>66.489999999999995</v>
      </c>
    </row>
    <row r="15" spans="1:7" x14ac:dyDescent="0.25">
      <c r="A15" s="1" t="s">
        <v>19</v>
      </c>
      <c r="B15" s="1">
        <v>9</v>
      </c>
      <c r="C15" s="1">
        <v>11</v>
      </c>
      <c r="D15" s="1">
        <v>7</v>
      </c>
      <c r="E15" s="1">
        <v>2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1417.71</v>
      </c>
      <c r="C17" s="1">
        <v>1572.37</v>
      </c>
      <c r="D17" s="1">
        <v>1119.47</v>
      </c>
      <c r="E17" s="1">
        <v>387.4</v>
      </c>
      <c r="F17" s="1">
        <v>628.37</v>
      </c>
      <c r="G17" s="1">
        <v>472.45</v>
      </c>
    </row>
    <row r="18" spans="1:7" x14ac:dyDescent="0.25">
      <c r="A18" s="1" t="s">
        <v>22</v>
      </c>
      <c r="B18" s="1">
        <v>0</v>
      </c>
      <c r="C18" s="1">
        <v>0</v>
      </c>
      <c r="D18" s="1">
        <v>25.4</v>
      </c>
      <c r="E18" s="1">
        <v>13.95</v>
      </c>
      <c r="F18" s="1">
        <v>29.39</v>
      </c>
      <c r="G18" s="1">
        <v>198.22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1.7</v>
      </c>
      <c r="G20" s="1">
        <v>1.7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8.3000000000000007</v>
      </c>
      <c r="G21" s="1">
        <v>8.1999999999999993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1.5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3.8</v>
      </c>
      <c r="F25" s="1">
        <v>2.1</v>
      </c>
      <c r="G25" s="1">
        <v>2.2999999999999998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6.2</v>
      </c>
      <c r="F26" s="1">
        <v>7.9</v>
      </c>
      <c r="G26" s="1">
        <v>6.1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15.151515151515154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38</v>
      </c>
      <c r="F30" s="3">
        <f t="shared" si="2"/>
        <v>21.000000000000004</v>
      </c>
      <c r="G30" s="3">
        <f t="shared" si="2"/>
        <v>23.232323232323235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62</v>
      </c>
      <c r="F31" s="3">
        <f t="shared" si="3"/>
        <v>79</v>
      </c>
      <c r="G31" s="3">
        <f t="shared" si="3"/>
        <v>61.616161616161627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144.54</v>
      </c>
      <c r="C33" s="3">
        <v>169.5</v>
      </c>
      <c r="D33" s="3">
        <v>114.93</v>
      </c>
      <c r="E33" s="3">
        <v>38.880000000000003</v>
      </c>
      <c r="F33" s="3">
        <v>54.6</v>
      </c>
      <c r="G33" s="3">
        <v>9.99</v>
      </c>
    </row>
    <row r="35" spans="1:7" x14ac:dyDescent="0.25">
      <c r="A35" s="3" t="s">
        <v>36</v>
      </c>
      <c r="B35" s="3"/>
      <c r="C35" s="3"/>
      <c r="D35" s="3">
        <f>D33-C33</f>
        <v>-54.569999999999993</v>
      </c>
      <c r="E35" s="3"/>
      <c r="F35" s="3">
        <f>F33-E33</f>
        <v>15.719999999999999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-76.050000000000011</v>
      </c>
      <c r="F37" s="3"/>
      <c r="G37" s="3">
        <f>G33-F33</f>
        <v>-44.61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E8D6-F2ED-4547-AE98-3F8DA45B3950}">
  <dimension ref="A1:G37"/>
  <sheetViews>
    <sheetView zoomScale="80" zoomScaleNormal="80" workbookViewId="0">
      <selection activeCell="L18" sqref="L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481.54</v>
      </c>
      <c r="C2" s="1">
        <v>481.28</v>
      </c>
      <c r="D2" s="1">
        <v>485.21</v>
      </c>
      <c r="E2" s="1">
        <v>416.22</v>
      </c>
      <c r="F2" s="1">
        <v>462.98</v>
      </c>
      <c r="G2" s="1">
        <v>514.19000000000005</v>
      </c>
    </row>
    <row r="3" spans="1:7" x14ac:dyDescent="0.25">
      <c r="A3" s="1" t="s">
        <v>7</v>
      </c>
      <c r="B3" s="1">
        <v>52.32</v>
      </c>
      <c r="C3" s="1">
        <v>56.92</v>
      </c>
      <c r="D3" s="1">
        <v>56.22</v>
      </c>
      <c r="E3" s="1">
        <v>53.27</v>
      </c>
      <c r="F3" s="1">
        <v>53.72</v>
      </c>
      <c r="G3" s="1">
        <v>63.6</v>
      </c>
    </row>
    <row r="4" spans="1:7" x14ac:dyDescent="0.25">
      <c r="A4" s="1" t="s">
        <v>8</v>
      </c>
      <c r="B4" s="1">
        <v>25618.52</v>
      </c>
      <c r="C4" s="1">
        <v>27868.02</v>
      </c>
      <c r="D4" s="1">
        <v>27739.55</v>
      </c>
      <c r="E4" s="1">
        <v>22552.720000000001</v>
      </c>
      <c r="F4" s="1">
        <v>25319.72</v>
      </c>
      <c r="G4" s="1">
        <v>33260.089999999997</v>
      </c>
    </row>
    <row r="5" spans="1:7" x14ac:dyDescent="0.25">
      <c r="A5" s="1" t="s">
        <v>9</v>
      </c>
      <c r="B5" s="1">
        <v>899.53</v>
      </c>
      <c r="C5" s="1">
        <v>803.4</v>
      </c>
      <c r="D5" s="1">
        <v>355.82</v>
      </c>
      <c r="E5" s="1">
        <v>157.16999999999999</v>
      </c>
      <c r="F5" s="1">
        <v>680.27</v>
      </c>
      <c r="G5" s="1">
        <v>1609.4</v>
      </c>
    </row>
    <row r="6" spans="1:7" x14ac:dyDescent="0.25">
      <c r="A6" s="3" t="s">
        <v>10</v>
      </c>
      <c r="B6" s="3">
        <v>89.95</v>
      </c>
      <c r="C6" s="3">
        <v>81.150000000000006</v>
      </c>
      <c r="D6" s="3">
        <v>35.94</v>
      </c>
      <c r="E6" s="3">
        <v>15.88</v>
      </c>
      <c r="F6" s="3">
        <v>68.709999999999994</v>
      </c>
      <c r="G6" s="3">
        <v>164.22</v>
      </c>
    </row>
    <row r="7" spans="1:7" x14ac:dyDescent="0.25">
      <c r="A7" s="1" t="s">
        <v>11</v>
      </c>
      <c r="B7" s="1">
        <v>858.24</v>
      </c>
      <c r="C7" s="1">
        <v>774.1</v>
      </c>
      <c r="D7" s="1">
        <v>337.44</v>
      </c>
      <c r="E7" s="1">
        <v>143.74</v>
      </c>
      <c r="F7" s="1">
        <v>650.6</v>
      </c>
      <c r="G7" s="1">
        <v>1543.75</v>
      </c>
    </row>
    <row r="8" spans="1:7" x14ac:dyDescent="0.25">
      <c r="A8" s="1" t="s">
        <v>12</v>
      </c>
      <c r="B8" s="1">
        <v>85.82</v>
      </c>
      <c r="C8" s="1">
        <v>78.19</v>
      </c>
      <c r="D8" s="1">
        <v>34.090000000000003</v>
      </c>
      <c r="E8" s="1">
        <v>14.52</v>
      </c>
      <c r="F8" s="1">
        <v>65.72</v>
      </c>
      <c r="G8" s="1">
        <v>157.53</v>
      </c>
    </row>
    <row r="9" spans="1:7" x14ac:dyDescent="0.25">
      <c r="A9" s="1" t="s">
        <v>13</v>
      </c>
      <c r="B9" s="1">
        <v>858.24</v>
      </c>
      <c r="C9" s="1">
        <v>774.1</v>
      </c>
      <c r="D9" s="1">
        <v>292.35000000000002</v>
      </c>
      <c r="E9" s="1">
        <v>-12.43</v>
      </c>
      <c r="F9" s="1">
        <v>616.70000000000005</v>
      </c>
      <c r="G9" s="1">
        <v>1543.75</v>
      </c>
    </row>
    <row r="10" spans="1:7" x14ac:dyDescent="0.25">
      <c r="A10" s="1" t="s">
        <v>14</v>
      </c>
      <c r="B10" s="1">
        <v>85.82</v>
      </c>
      <c r="C10" s="1">
        <v>78.19</v>
      </c>
      <c r="D10" s="1">
        <v>29.53</v>
      </c>
      <c r="E10" s="1">
        <v>-1.26</v>
      </c>
      <c r="F10" s="1">
        <v>62.29</v>
      </c>
      <c r="G10" s="1">
        <v>157.53</v>
      </c>
    </row>
    <row r="11" spans="1:7" x14ac:dyDescent="0.25">
      <c r="A11" s="1" t="s">
        <v>15</v>
      </c>
      <c r="B11" s="1">
        <v>773.33</v>
      </c>
      <c r="C11" s="1">
        <v>619.87</v>
      </c>
      <c r="D11" s="1">
        <v>212.27</v>
      </c>
      <c r="E11" s="1">
        <v>9.99</v>
      </c>
      <c r="F11" s="1">
        <v>533.73</v>
      </c>
      <c r="G11" s="1">
        <v>1359.48</v>
      </c>
    </row>
    <row r="12" spans="1:7" x14ac:dyDescent="0.25">
      <c r="A12" s="1" t="s">
        <v>16</v>
      </c>
      <c r="B12" s="1">
        <v>258.60000000000002</v>
      </c>
      <c r="C12" s="1">
        <v>267.25</v>
      </c>
      <c r="D12" s="1">
        <v>264.07</v>
      </c>
      <c r="E12" s="1">
        <v>217.77</v>
      </c>
      <c r="F12" s="1">
        <v>229.51</v>
      </c>
      <c r="G12" s="1">
        <v>283.33999999999997</v>
      </c>
    </row>
    <row r="13" spans="1:7" x14ac:dyDescent="0.25">
      <c r="A13" s="1" t="s">
        <v>17</v>
      </c>
      <c r="B13" s="1">
        <v>31.47</v>
      </c>
      <c r="C13" s="1">
        <v>36.61</v>
      </c>
      <c r="D13" s="1">
        <v>48.69</v>
      </c>
      <c r="E13" s="1">
        <v>38.01</v>
      </c>
      <c r="F13" s="1">
        <v>27.16</v>
      </c>
      <c r="G13" s="1">
        <v>36.840000000000003</v>
      </c>
    </row>
    <row r="14" spans="1:7" x14ac:dyDescent="0.25">
      <c r="A14" s="1" t="s">
        <v>18</v>
      </c>
      <c r="B14" s="1">
        <v>67.75</v>
      </c>
      <c r="C14" s="1">
        <v>64.510000000000005</v>
      </c>
      <c r="D14" s="1">
        <v>67.03</v>
      </c>
      <c r="E14" s="1">
        <v>43.1</v>
      </c>
      <c r="F14" s="1">
        <v>67.47</v>
      </c>
      <c r="G14" s="1">
        <v>62.25</v>
      </c>
    </row>
    <row r="15" spans="1:7" x14ac:dyDescent="0.25">
      <c r="A15" s="1" t="s">
        <v>19</v>
      </c>
      <c r="B15" s="1">
        <v>4</v>
      </c>
      <c r="C15" s="1">
        <v>5</v>
      </c>
      <c r="D15" s="1">
        <v>1</v>
      </c>
      <c r="E15" s="1">
        <v>1</v>
      </c>
      <c r="F15" s="1">
        <v>4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858.24</v>
      </c>
      <c r="C17" s="1">
        <v>774.1</v>
      </c>
      <c r="D17" s="1">
        <v>314.89999999999998</v>
      </c>
      <c r="E17" s="1">
        <v>65.66</v>
      </c>
      <c r="F17" s="1">
        <v>633.65</v>
      </c>
      <c r="G17" s="1">
        <v>1543.75</v>
      </c>
    </row>
    <row r="18" spans="1:7" x14ac:dyDescent="0.25">
      <c r="A18" s="1" t="s">
        <v>22</v>
      </c>
      <c r="B18" s="1">
        <v>0</v>
      </c>
      <c r="C18" s="1">
        <v>0</v>
      </c>
      <c r="D18" s="1">
        <v>22.55</v>
      </c>
      <c r="E18" s="1">
        <v>78.09</v>
      </c>
      <c r="F18" s="1">
        <v>16.95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3.9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6.1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5.8</v>
      </c>
      <c r="E25" s="1">
        <v>10</v>
      </c>
      <c r="F25" s="1">
        <v>3.2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4.2</v>
      </c>
      <c r="E26" s="1">
        <v>0</v>
      </c>
      <c r="F26" s="1">
        <v>6.8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57.999999999999993</v>
      </c>
      <c r="E30" s="3">
        <f t="shared" si="2"/>
        <v>100</v>
      </c>
      <c r="F30" s="3">
        <f t="shared" si="2"/>
        <v>32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42.000000000000007</v>
      </c>
      <c r="E31" s="3">
        <f t="shared" si="3"/>
        <v>0</v>
      </c>
      <c r="F31" s="3">
        <f t="shared" si="3"/>
        <v>68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90.51</v>
      </c>
      <c r="C33" s="3">
        <v>84.44</v>
      </c>
      <c r="D33" s="3">
        <v>31.16</v>
      </c>
      <c r="E33" s="3">
        <v>-0.45</v>
      </c>
      <c r="F33" s="3">
        <v>62.67</v>
      </c>
      <c r="G33" s="3">
        <v>165.88</v>
      </c>
    </row>
    <row r="35" spans="1:7" x14ac:dyDescent="0.25">
      <c r="A35" s="3" t="s">
        <v>36</v>
      </c>
      <c r="B35" s="3"/>
      <c r="C35" s="3"/>
      <c r="D35" s="3">
        <f>D33-C33</f>
        <v>-53.28</v>
      </c>
      <c r="E35" s="3"/>
      <c r="F35" s="3">
        <f>F33-E33</f>
        <v>63.120000000000005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-31.61</v>
      </c>
      <c r="F37" s="3"/>
      <c r="G37" s="3">
        <f>G33-F33</f>
        <v>103.21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424F-6922-4E44-9539-A55A333E3961}">
  <dimension ref="A1:G37"/>
  <sheetViews>
    <sheetView zoomScale="80" zoomScaleNormal="80" workbookViewId="0">
      <selection activeCell="L14" sqref="L1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464.25</v>
      </c>
      <c r="C2" s="1">
        <v>481.18</v>
      </c>
      <c r="D2" s="1">
        <v>476.78</v>
      </c>
      <c r="E2" s="1">
        <v>446.87</v>
      </c>
      <c r="F2" s="1">
        <v>445.75</v>
      </c>
      <c r="G2" s="1">
        <v>453.74</v>
      </c>
    </row>
    <row r="3" spans="1:7" x14ac:dyDescent="0.25">
      <c r="A3" s="1" t="s">
        <v>7</v>
      </c>
      <c r="B3" s="1">
        <v>31.59</v>
      </c>
      <c r="C3" s="1">
        <v>31.31</v>
      </c>
      <c r="D3" s="1">
        <v>31.19</v>
      </c>
      <c r="E3" s="1">
        <v>31.11</v>
      </c>
      <c r="F3" s="1">
        <v>31.33</v>
      </c>
      <c r="G3" s="1">
        <v>32</v>
      </c>
    </row>
    <row r="4" spans="1:7" x14ac:dyDescent="0.25">
      <c r="A4" s="1" t="s">
        <v>8</v>
      </c>
      <c r="B4" s="1">
        <v>14892.06</v>
      </c>
      <c r="C4" s="1">
        <v>15316.27</v>
      </c>
      <c r="D4" s="1">
        <v>15122.33</v>
      </c>
      <c r="E4" s="1">
        <v>14137.42</v>
      </c>
      <c r="F4" s="1">
        <v>14200.13</v>
      </c>
      <c r="G4" s="1">
        <v>14780.94</v>
      </c>
    </row>
    <row r="5" spans="1:7" x14ac:dyDescent="0.25">
      <c r="A5" s="1" t="s">
        <v>9</v>
      </c>
      <c r="B5" s="1">
        <v>1733.38</v>
      </c>
      <c r="C5" s="1">
        <v>2105.1799999999998</v>
      </c>
      <c r="D5" s="1">
        <v>1802</v>
      </c>
      <c r="E5" s="1">
        <v>1468.06</v>
      </c>
      <c r="F5" s="1">
        <v>2339.06</v>
      </c>
      <c r="G5" s="1">
        <v>1916.65</v>
      </c>
    </row>
    <row r="6" spans="1:7" x14ac:dyDescent="0.25">
      <c r="A6" s="3" t="s">
        <v>10</v>
      </c>
      <c r="B6" s="3">
        <v>173.34</v>
      </c>
      <c r="C6" s="3">
        <v>212.64</v>
      </c>
      <c r="D6" s="3">
        <v>182.02</v>
      </c>
      <c r="E6" s="3">
        <v>148.29</v>
      </c>
      <c r="F6" s="3">
        <v>236.27</v>
      </c>
      <c r="G6" s="3">
        <v>195.58</v>
      </c>
    </row>
    <row r="7" spans="1:7" x14ac:dyDescent="0.25">
      <c r="A7" s="1" t="s">
        <v>11</v>
      </c>
      <c r="B7" s="1">
        <v>1582.37</v>
      </c>
      <c r="C7" s="1">
        <v>1961.49</v>
      </c>
      <c r="D7" s="1">
        <v>1613.06</v>
      </c>
      <c r="E7" s="1">
        <v>1378.97</v>
      </c>
      <c r="F7" s="1">
        <v>2160.73</v>
      </c>
      <c r="G7" s="1">
        <v>1754.76</v>
      </c>
    </row>
    <row r="8" spans="1:7" x14ac:dyDescent="0.25">
      <c r="A8" s="1" t="s">
        <v>12</v>
      </c>
      <c r="B8" s="1">
        <v>158.24</v>
      </c>
      <c r="C8" s="1">
        <v>198.13</v>
      </c>
      <c r="D8" s="1">
        <v>162.94</v>
      </c>
      <c r="E8" s="1">
        <v>139.29</v>
      </c>
      <c r="F8" s="1">
        <v>218.26</v>
      </c>
      <c r="G8" s="1">
        <v>179.06</v>
      </c>
    </row>
    <row r="9" spans="1:7" x14ac:dyDescent="0.25">
      <c r="A9" s="1" t="s">
        <v>13</v>
      </c>
      <c r="B9" s="1">
        <v>1206.3</v>
      </c>
      <c r="C9" s="1">
        <v>1484.7</v>
      </c>
      <c r="D9" s="1">
        <v>1456.17</v>
      </c>
      <c r="E9" s="1">
        <v>1378.97</v>
      </c>
      <c r="F9" s="1">
        <v>2160.73</v>
      </c>
      <c r="G9" s="1">
        <v>1741.4</v>
      </c>
    </row>
    <row r="10" spans="1:7" x14ac:dyDescent="0.25">
      <c r="A10" s="1" t="s">
        <v>14</v>
      </c>
      <c r="B10" s="1">
        <v>120.63</v>
      </c>
      <c r="C10" s="1">
        <v>149.97</v>
      </c>
      <c r="D10" s="1">
        <v>147.09</v>
      </c>
      <c r="E10" s="1">
        <v>139.29</v>
      </c>
      <c r="F10" s="1">
        <v>218.26</v>
      </c>
      <c r="G10" s="1">
        <v>177.69</v>
      </c>
    </row>
    <row r="11" spans="1:7" x14ac:dyDescent="0.25">
      <c r="A11" s="1" t="s">
        <v>15</v>
      </c>
      <c r="B11" s="1">
        <v>1041.3399999999999</v>
      </c>
      <c r="C11" s="1">
        <v>765.25</v>
      </c>
      <c r="D11" s="1">
        <v>1042.29</v>
      </c>
      <c r="E11" s="1">
        <v>1197.32</v>
      </c>
      <c r="F11" s="1">
        <v>1947.35</v>
      </c>
      <c r="G11" s="1">
        <v>1423.85</v>
      </c>
    </row>
    <row r="12" spans="1:7" x14ac:dyDescent="0.25">
      <c r="A12" s="1" t="s">
        <v>16</v>
      </c>
      <c r="B12" s="1">
        <v>246.12</v>
      </c>
      <c r="C12" s="1">
        <v>294.44</v>
      </c>
      <c r="D12" s="1">
        <v>262.64</v>
      </c>
      <c r="E12" s="1">
        <v>265.45999999999998</v>
      </c>
      <c r="F12" s="1">
        <v>275.31</v>
      </c>
      <c r="G12" s="1">
        <v>257.13</v>
      </c>
    </row>
    <row r="13" spans="1:7" x14ac:dyDescent="0.25">
      <c r="A13" s="1" t="s">
        <v>17</v>
      </c>
      <c r="B13" s="1">
        <v>44.96</v>
      </c>
      <c r="C13" s="1">
        <v>42.1</v>
      </c>
      <c r="D13" s="1">
        <v>43.89</v>
      </c>
      <c r="E13" s="1">
        <v>29.58</v>
      </c>
      <c r="F13" s="1">
        <v>33.19</v>
      </c>
      <c r="G13" s="1">
        <v>35.68</v>
      </c>
    </row>
    <row r="14" spans="1:7" x14ac:dyDescent="0.25">
      <c r="A14" s="1" t="s">
        <v>18</v>
      </c>
      <c r="B14" s="1">
        <v>99.37</v>
      </c>
      <c r="C14" s="1">
        <v>91.34</v>
      </c>
      <c r="D14" s="1">
        <v>97.37</v>
      </c>
      <c r="E14" s="1">
        <v>66.47</v>
      </c>
      <c r="F14" s="1">
        <v>74.44</v>
      </c>
      <c r="G14" s="1">
        <v>73.849999999999994</v>
      </c>
    </row>
    <row r="15" spans="1:7" x14ac:dyDescent="0.25">
      <c r="A15" s="1" t="s">
        <v>19</v>
      </c>
      <c r="B15" s="1">
        <v>8</v>
      </c>
      <c r="C15" s="1">
        <v>10</v>
      </c>
      <c r="D15" s="1">
        <v>8</v>
      </c>
      <c r="E15" s="1">
        <v>4</v>
      </c>
      <c r="F15" s="1">
        <v>11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1394.33</v>
      </c>
      <c r="C17" s="1">
        <v>1723.09</v>
      </c>
      <c r="D17" s="1">
        <v>1534.61</v>
      </c>
      <c r="E17" s="1">
        <v>1378.97</v>
      </c>
      <c r="F17" s="1">
        <v>2160.73</v>
      </c>
      <c r="G17" s="1">
        <v>1748.08</v>
      </c>
    </row>
    <row r="18" spans="1:7" x14ac:dyDescent="0.25">
      <c r="A18" s="1" t="s">
        <v>22</v>
      </c>
      <c r="B18" s="1">
        <v>188.03</v>
      </c>
      <c r="C18" s="1">
        <v>238.39</v>
      </c>
      <c r="D18" s="1">
        <v>78.44</v>
      </c>
      <c r="E18" s="1">
        <v>0</v>
      </c>
      <c r="F18" s="1">
        <v>0</v>
      </c>
      <c r="G18" s="1">
        <v>6.68</v>
      </c>
    </row>
    <row r="19" spans="1:7" x14ac:dyDescent="0.25">
      <c r="A19" s="1" t="s">
        <v>23</v>
      </c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2.2999999999999998</v>
      </c>
      <c r="C20" s="1">
        <v>2.1</v>
      </c>
      <c r="D20" s="1">
        <v>1.4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7.8</v>
      </c>
      <c r="C21" s="1">
        <v>7.9</v>
      </c>
      <c r="D21" s="1">
        <v>8.6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2.6</v>
      </c>
      <c r="C24" s="1">
        <v>1.7</v>
      </c>
      <c r="D24" s="1">
        <v>3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5.6</v>
      </c>
      <c r="C26" s="1">
        <v>8.3000000000000007</v>
      </c>
      <c r="D26" s="1">
        <v>7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25.742574257425744</v>
      </c>
      <c r="C29" s="3">
        <f t="shared" ref="C29:G29" si="1">C24/C28*100</f>
        <v>17</v>
      </c>
      <c r="D29" s="3">
        <f t="shared" si="1"/>
        <v>30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18.811881188118811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55.445544554455438</v>
      </c>
      <c r="C31" s="3">
        <f t="shared" ref="C31:G31" si="3">C26/C28*100</f>
        <v>83</v>
      </c>
      <c r="D31" s="3">
        <f t="shared" si="3"/>
        <v>70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81.94</v>
      </c>
      <c r="C33" s="3">
        <v>117.3</v>
      </c>
      <c r="D33" s="3">
        <v>134.38999999999999</v>
      </c>
      <c r="E33" s="3">
        <v>146.29</v>
      </c>
      <c r="F33" s="3">
        <v>230.25</v>
      </c>
      <c r="G33" s="3">
        <v>190.88</v>
      </c>
    </row>
    <row r="35" spans="1:7" x14ac:dyDescent="0.25">
      <c r="A35" s="3" t="s">
        <v>36</v>
      </c>
      <c r="B35" s="3"/>
      <c r="C35" s="3"/>
      <c r="D35" s="3">
        <f>D33-C33</f>
        <v>17.089999999999989</v>
      </c>
      <c r="E35" s="3"/>
      <c r="F35" s="3">
        <f>F33-E33</f>
        <v>83.960000000000008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11.900000000000006</v>
      </c>
      <c r="F37" s="3"/>
      <c r="G37" s="3">
        <f>G33-F33</f>
        <v>-39.370000000000005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5A41-34B7-4667-A7F7-3A9C332A3BCD}">
  <dimension ref="A1:G37"/>
  <sheetViews>
    <sheetView zoomScale="80" zoomScaleNormal="80" workbookViewId="0">
      <selection activeCell="I22" sqref="I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509.53</v>
      </c>
      <c r="C2" s="1">
        <v>510.45</v>
      </c>
      <c r="D2" s="1">
        <v>480.71</v>
      </c>
      <c r="E2" s="1">
        <v>509.9</v>
      </c>
      <c r="F2" s="1">
        <v>463.08</v>
      </c>
      <c r="G2" s="1">
        <v>471.57</v>
      </c>
    </row>
    <row r="3" spans="1:7" x14ac:dyDescent="0.25">
      <c r="A3" s="1" t="s">
        <v>7</v>
      </c>
      <c r="B3" s="1">
        <v>43.84</v>
      </c>
      <c r="C3" s="1">
        <v>43.66</v>
      </c>
      <c r="D3" s="1">
        <v>45.13</v>
      </c>
      <c r="E3" s="1">
        <v>44.92</v>
      </c>
      <c r="F3" s="1">
        <v>45.37</v>
      </c>
      <c r="G3" s="1">
        <v>48.74</v>
      </c>
    </row>
    <row r="4" spans="1:7" x14ac:dyDescent="0.25">
      <c r="A4" s="1" t="s">
        <v>8</v>
      </c>
      <c r="B4" s="1">
        <v>22723.66</v>
      </c>
      <c r="C4" s="1">
        <v>22672.02</v>
      </c>
      <c r="D4" s="1">
        <v>22037.73</v>
      </c>
      <c r="E4" s="1">
        <v>23299.8</v>
      </c>
      <c r="F4" s="1">
        <v>21361.62</v>
      </c>
      <c r="G4" s="1">
        <v>23358.55</v>
      </c>
    </row>
    <row r="5" spans="1:7" x14ac:dyDescent="0.25">
      <c r="A5" s="1" t="s">
        <v>9</v>
      </c>
      <c r="B5" s="1">
        <v>51.06</v>
      </c>
      <c r="C5" s="1">
        <v>51.36</v>
      </c>
      <c r="D5" s="1">
        <v>204.88</v>
      </c>
      <c r="E5" s="1">
        <v>73.41</v>
      </c>
      <c r="F5" s="1">
        <v>177.68</v>
      </c>
      <c r="G5" s="1">
        <v>963.15</v>
      </c>
    </row>
    <row r="6" spans="1:7" x14ac:dyDescent="0.25">
      <c r="A6" s="3" t="s">
        <v>10</v>
      </c>
      <c r="B6" s="3">
        <v>5.1100000000000003</v>
      </c>
      <c r="C6" s="3">
        <v>5.19</v>
      </c>
      <c r="D6" s="3">
        <v>20.69</v>
      </c>
      <c r="E6" s="3">
        <v>7.41</v>
      </c>
      <c r="F6" s="3">
        <v>17.95</v>
      </c>
      <c r="G6" s="3">
        <v>98.28</v>
      </c>
    </row>
    <row r="7" spans="1:7" x14ac:dyDescent="0.25">
      <c r="A7" s="1" t="s">
        <v>11</v>
      </c>
      <c r="B7" s="1">
        <v>43.65</v>
      </c>
      <c r="C7" s="1">
        <v>43.09</v>
      </c>
      <c r="D7" s="1">
        <v>199.32</v>
      </c>
      <c r="E7" s="1">
        <v>66.08</v>
      </c>
      <c r="F7" s="1">
        <v>172.69</v>
      </c>
      <c r="G7" s="1">
        <v>921.22</v>
      </c>
    </row>
    <row r="8" spans="1:7" x14ac:dyDescent="0.25">
      <c r="A8" s="1" t="s">
        <v>12</v>
      </c>
      <c r="B8" s="1">
        <v>4.3600000000000003</v>
      </c>
      <c r="C8" s="1">
        <v>4.3499999999999996</v>
      </c>
      <c r="D8" s="1">
        <v>20.13</v>
      </c>
      <c r="E8" s="1">
        <v>6.67</v>
      </c>
      <c r="F8" s="1">
        <v>17.440000000000001</v>
      </c>
      <c r="G8" s="1">
        <v>94</v>
      </c>
    </row>
    <row r="9" spans="1:7" x14ac:dyDescent="0.25">
      <c r="A9" s="1" t="s">
        <v>13</v>
      </c>
      <c r="B9" s="1">
        <v>-3.97</v>
      </c>
      <c r="C9" s="1">
        <v>-7.43</v>
      </c>
      <c r="D9" s="1">
        <v>-108.5</v>
      </c>
      <c r="E9" s="1">
        <v>-7.81</v>
      </c>
      <c r="F9" s="1">
        <v>94.06</v>
      </c>
      <c r="G9" s="1">
        <v>-700.71</v>
      </c>
    </row>
    <row r="10" spans="1:7" x14ac:dyDescent="0.25">
      <c r="A10" s="1" t="s">
        <v>14</v>
      </c>
      <c r="B10" s="1">
        <v>-0.4</v>
      </c>
      <c r="C10" s="1">
        <v>-0.75</v>
      </c>
      <c r="D10" s="1">
        <v>-10.96</v>
      </c>
      <c r="E10" s="1">
        <v>-0.79</v>
      </c>
      <c r="F10" s="1">
        <v>9.5</v>
      </c>
      <c r="G10" s="1">
        <v>-71.5</v>
      </c>
    </row>
    <row r="11" spans="1:7" x14ac:dyDescent="0.25">
      <c r="A11" s="1" t="s">
        <v>15</v>
      </c>
      <c r="B11" s="1">
        <v>0.97</v>
      </c>
      <c r="C11" s="1">
        <v>3.91</v>
      </c>
      <c r="D11" s="1">
        <v>98.66</v>
      </c>
      <c r="E11" s="1">
        <v>3.44</v>
      </c>
      <c r="F11" s="1">
        <v>72</v>
      </c>
      <c r="G11" s="1">
        <v>367.73</v>
      </c>
    </row>
    <row r="12" spans="1:7" x14ac:dyDescent="0.25">
      <c r="A12" s="1" t="s">
        <v>16</v>
      </c>
      <c r="B12" s="1">
        <v>263.13</v>
      </c>
      <c r="C12" s="1">
        <v>266.49</v>
      </c>
      <c r="D12" s="1">
        <v>261.92</v>
      </c>
      <c r="E12" s="1">
        <v>308.45</v>
      </c>
      <c r="F12" s="1">
        <v>269.49</v>
      </c>
      <c r="G12" s="1">
        <v>230.64</v>
      </c>
    </row>
    <row r="13" spans="1:7" x14ac:dyDescent="0.25">
      <c r="A13" s="1" t="s">
        <v>17</v>
      </c>
      <c r="B13" s="1">
        <v>7.13</v>
      </c>
      <c r="C13" s="1">
        <v>6.72</v>
      </c>
      <c r="D13" s="1">
        <v>12.46</v>
      </c>
      <c r="E13" s="1">
        <v>16.260000000000002</v>
      </c>
      <c r="F13" s="1">
        <v>14.57</v>
      </c>
      <c r="G13" s="1">
        <v>37.11</v>
      </c>
    </row>
    <row r="14" spans="1:7" x14ac:dyDescent="0.25">
      <c r="A14" s="1" t="s">
        <v>18</v>
      </c>
      <c r="B14" s="1">
        <v>9.9600000000000009</v>
      </c>
      <c r="C14" s="1">
        <v>10.97</v>
      </c>
      <c r="D14" s="1">
        <v>26.4</v>
      </c>
      <c r="E14" s="1">
        <v>20.13</v>
      </c>
      <c r="F14" s="1">
        <v>28.73</v>
      </c>
      <c r="G14" s="1">
        <v>86.64</v>
      </c>
    </row>
    <row r="15" spans="1:7" x14ac:dyDescent="0.25">
      <c r="A15" s="1" t="s">
        <v>19</v>
      </c>
      <c r="B15" s="1">
        <v>0</v>
      </c>
      <c r="C15" s="1">
        <v>0</v>
      </c>
      <c r="D15" s="1">
        <v>1</v>
      </c>
      <c r="E15" s="1">
        <v>0</v>
      </c>
      <c r="F15" s="1">
        <v>1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19.84</v>
      </c>
      <c r="C17" s="1">
        <v>17.829999999999998</v>
      </c>
      <c r="D17" s="1">
        <v>45.41</v>
      </c>
      <c r="E17" s="1">
        <v>29.13</v>
      </c>
      <c r="F17" s="1">
        <v>133.38</v>
      </c>
      <c r="G17" s="1">
        <v>110.25</v>
      </c>
    </row>
    <row r="18" spans="1:7" x14ac:dyDescent="0.25">
      <c r="A18" s="1" t="s">
        <v>22</v>
      </c>
      <c r="B18" s="1">
        <v>23.81</v>
      </c>
      <c r="C18" s="1">
        <v>25.26</v>
      </c>
      <c r="D18" s="1">
        <v>153.91</v>
      </c>
      <c r="E18" s="1">
        <v>36.94</v>
      </c>
      <c r="F18" s="1">
        <v>39.32</v>
      </c>
      <c r="G18" s="1">
        <v>810.97</v>
      </c>
    </row>
    <row r="19" spans="1:7" x14ac:dyDescent="0.25">
      <c r="A19" s="1" t="s">
        <v>23</v>
      </c>
      <c r="B19" s="1">
        <v>0</v>
      </c>
      <c r="C19" s="1">
        <v>3</v>
      </c>
      <c r="D19" s="1">
        <v>2</v>
      </c>
      <c r="E19" s="1">
        <v>1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5.9</v>
      </c>
      <c r="D20" s="1">
        <v>5.9</v>
      </c>
      <c r="E20" s="1">
        <v>1.1000000000000001</v>
      </c>
      <c r="F20" s="1">
        <v>1.8</v>
      </c>
      <c r="G20" s="1">
        <v>4.7</v>
      </c>
    </row>
    <row r="21" spans="1:7" x14ac:dyDescent="0.25">
      <c r="A21" s="1" t="s">
        <v>25</v>
      </c>
      <c r="B21" s="1">
        <v>10.1</v>
      </c>
      <c r="C21" s="1">
        <v>4.0999999999999996</v>
      </c>
      <c r="D21" s="1">
        <v>4.0999999999999996</v>
      </c>
      <c r="E21" s="1">
        <v>8.9</v>
      </c>
      <c r="F21" s="1">
        <v>8.1999999999999993</v>
      </c>
      <c r="G21" s="1">
        <v>5.2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4.4000000000000004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9</v>
      </c>
      <c r="E25" s="1">
        <v>10</v>
      </c>
      <c r="F25" s="1">
        <v>9</v>
      </c>
      <c r="G25" s="1">
        <v>1.4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4.0999999999999996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10</v>
      </c>
      <c r="E29" s="3">
        <f t="shared" si="1"/>
        <v>0</v>
      </c>
      <c r="F29" s="3">
        <f t="shared" si="1"/>
        <v>0</v>
      </c>
      <c r="G29" s="3">
        <f t="shared" si="1"/>
        <v>44.44444444444445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90</v>
      </c>
      <c r="E30" s="3">
        <f t="shared" si="2"/>
        <v>100</v>
      </c>
      <c r="F30" s="3">
        <f t="shared" si="2"/>
        <v>90</v>
      </c>
      <c r="G30" s="3">
        <f t="shared" si="2"/>
        <v>14.14141414141414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10</v>
      </c>
      <c r="G31" s="3">
        <f t="shared" si="3"/>
        <v>41.414141414141412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0.01</v>
      </c>
      <c r="C33" s="3">
        <v>-0.22</v>
      </c>
      <c r="D33" s="3">
        <v>-10.210000000000001</v>
      </c>
      <c r="E33" s="3">
        <v>0</v>
      </c>
      <c r="F33" s="3">
        <v>7.16</v>
      </c>
      <c r="G33" s="3">
        <v>-52.17</v>
      </c>
    </row>
    <row r="35" spans="1:7" x14ac:dyDescent="0.25">
      <c r="A35" s="3" t="s">
        <v>36</v>
      </c>
      <c r="B35" s="3"/>
      <c r="C35" s="3"/>
      <c r="D35" s="3">
        <f>D33-C33</f>
        <v>-9.99</v>
      </c>
      <c r="E35" s="3"/>
      <c r="F35" s="3">
        <f>F33-E33</f>
        <v>7.16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10.210000000000001</v>
      </c>
      <c r="F37" s="3"/>
      <c r="G37" s="3">
        <f>G33-F33</f>
        <v>-59.33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E314-F09A-4333-A1AD-763A24442D82}">
  <dimension ref="A1:G37"/>
  <sheetViews>
    <sheetView zoomScale="80" zoomScaleNormal="80" workbookViewId="0">
      <selection activeCell="L11" sqref="L1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533.25</v>
      </c>
      <c r="C2" s="1">
        <v>540.89</v>
      </c>
      <c r="D2" s="1">
        <v>512.4</v>
      </c>
      <c r="E2" s="1">
        <v>514.17999999999995</v>
      </c>
      <c r="F2" s="1">
        <v>515.94000000000005</v>
      </c>
      <c r="G2" s="1">
        <v>512.08000000000004</v>
      </c>
    </row>
    <row r="3" spans="1:7" x14ac:dyDescent="0.25">
      <c r="A3" s="1" t="s">
        <v>7</v>
      </c>
      <c r="B3" s="1">
        <v>69.010000000000005</v>
      </c>
      <c r="C3" s="1">
        <v>68.2</v>
      </c>
      <c r="D3" s="1">
        <v>77.010000000000005</v>
      </c>
      <c r="E3" s="1">
        <v>77.95</v>
      </c>
      <c r="F3" s="1">
        <v>78.33</v>
      </c>
      <c r="G3" s="1">
        <v>77.27</v>
      </c>
    </row>
    <row r="4" spans="1:7" x14ac:dyDescent="0.25">
      <c r="A4" s="1" t="s">
        <v>8</v>
      </c>
      <c r="B4" s="1">
        <v>37421.9</v>
      </c>
      <c r="C4" s="1">
        <v>37497.26</v>
      </c>
      <c r="D4" s="1">
        <v>40129.879999999997</v>
      </c>
      <c r="E4" s="1">
        <v>40755.339999999997</v>
      </c>
      <c r="F4" s="1">
        <v>41100.49</v>
      </c>
      <c r="G4" s="1">
        <v>40244.76</v>
      </c>
    </row>
    <row r="5" spans="1:7" x14ac:dyDescent="0.25">
      <c r="A5" s="1" t="s">
        <v>9</v>
      </c>
      <c r="B5" s="1">
        <v>384.95</v>
      </c>
      <c r="C5" s="1">
        <v>343.51</v>
      </c>
      <c r="D5" s="1">
        <v>302.99</v>
      </c>
      <c r="E5" s="1">
        <v>190.76</v>
      </c>
      <c r="F5" s="1">
        <v>168.57</v>
      </c>
      <c r="G5" s="1">
        <v>164.55</v>
      </c>
    </row>
    <row r="6" spans="1:7" x14ac:dyDescent="0.25">
      <c r="A6" s="3" t="s">
        <v>10</v>
      </c>
      <c r="B6" s="3">
        <v>38.49</v>
      </c>
      <c r="C6" s="3">
        <v>34.700000000000003</v>
      </c>
      <c r="D6" s="3">
        <v>30.6</v>
      </c>
      <c r="E6" s="3">
        <v>19.27</v>
      </c>
      <c r="F6" s="3">
        <v>17.03</v>
      </c>
      <c r="G6" s="3">
        <v>16.79</v>
      </c>
    </row>
    <row r="7" spans="1:7" x14ac:dyDescent="0.25">
      <c r="A7" s="1" t="s">
        <v>11</v>
      </c>
      <c r="B7" s="1">
        <v>360.62</v>
      </c>
      <c r="C7" s="1">
        <v>321.29000000000002</v>
      </c>
      <c r="D7" s="1">
        <v>285.16000000000003</v>
      </c>
      <c r="E7" s="1">
        <v>155.13999999999999</v>
      </c>
      <c r="F7" s="1">
        <v>140.54</v>
      </c>
      <c r="G7" s="1">
        <v>137.93</v>
      </c>
    </row>
    <row r="8" spans="1:7" x14ac:dyDescent="0.25">
      <c r="A8" s="1" t="s">
        <v>12</v>
      </c>
      <c r="B8" s="1">
        <v>36.06</v>
      </c>
      <c r="C8" s="1">
        <v>32.450000000000003</v>
      </c>
      <c r="D8" s="1">
        <v>28.8</v>
      </c>
      <c r="E8" s="1">
        <v>15.67</v>
      </c>
      <c r="F8" s="1">
        <v>14.2</v>
      </c>
      <c r="G8" s="1">
        <v>14.07</v>
      </c>
    </row>
    <row r="9" spans="1:7" x14ac:dyDescent="0.25">
      <c r="A9" s="1" t="s">
        <v>13</v>
      </c>
      <c r="B9" s="1">
        <v>-51.67</v>
      </c>
      <c r="C9" s="1">
        <v>-45.53</v>
      </c>
      <c r="D9" s="1">
        <v>-103.32</v>
      </c>
      <c r="E9" s="1">
        <v>20.71</v>
      </c>
      <c r="F9" s="1">
        <v>-15</v>
      </c>
      <c r="G9" s="1">
        <v>-14.02</v>
      </c>
    </row>
    <row r="10" spans="1:7" x14ac:dyDescent="0.25">
      <c r="A10" s="1" t="s">
        <v>14</v>
      </c>
      <c r="B10" s="1">
        <v>-5.17</v>
      </c>
      <c r="C10" s="1">
        <v>-4.5999999999999996</v>
      </c>
      <c r="D10" s="1">
        <v>-10.44</v>
      </c>
      <c r="E10" s="1">
        <v>2.09</v>
      </c>
      <c r="F10" s="1">
        <v>-1.52</v>
      </c>
      <c r="G10" s="1">
        <v>-1.43</v>
      </c>
    </row>
    <row r="11" spans="1:7" x14ac:dyDescent="0.25">
      <c r="A11" s="1" t="s">
        <v>15</v>
      </c>
      <c r="B11" s="1">
        <v>30.16</v>
      </c>
      <c r="C11" s="1">
        <v>17.59</v>
      </c>
      <c r="D11" s="1">
        <v>85.31</v>
      </c>
      <c r="E11" s="1">
        <v>8.19</v>
      </c>
      <c r="F11" s="1">
        <v>6.8</v>
      </c>
      <c r="G11" s="1">
        <v>5.76</v>
      </c>
    </row>
    <row r="12" spans="1:7" x14ac:dyDescent="0.25">
      <c r="A12" s="1" t="s">
        <v>16</v>
      </c>
      <c r="B12" s="1">
        <v>236.51</v>
      </c>
      <c r="C12" s="1">
        <v>282.16000000000003</v>
      </c>
      <c r="D12" s="1">
        <v>223.32</v>
      </c>
      <c r="E12" s="1">
        <v>295.08</v>
      </c>
      <c r="F12" s="1">
        <v>284.85000000000002</v>
      </c>
      <c r="G12" s="1">
        <v>306.54000000000002</v>
      </c>
    </row>
    <row r="13" spans="1:7" x14ac:dyDescent="0.25">
      <c r="A13" s="1" t="s">
        <v>17</v>
      </c>
      <c r="B13" s="1">
        <v>9.8000000000000007</v>
      </c>
      <c r="C13" s="1">
        <v>8.48</v>
      </c>
      <c r="D13" s="1">
        <v>14.56</v>
      </c>
      <c r="E13" s="1">
        <v>8.58</v>
      </c>
      <c r="F13" s="1">
        <v>9.08</v>
      </c>
      <c r="G13" s="1">
        <v>8.16</v>
      </c>
    </row>
    <row r="14" spans="1:7" x14ac:dyDescent="0.25">
      <c r="A14" s="1" t="s">
        <v>18</v>
      </c>
      <c r="B14" s="1">
        <v>24.65</v>
      </c>
      <c r="C14" s="1">
        <v>24.86</v>
      </c>
      <c r="D14" s="1">
        <v>40.92</v>
      </c>
      <c r="E14" s="1">
        <v>19.12</v>
      </c>
      <c r="F14" s="1">
        <v>20.67</v>
      </c>
      <c r="G14" s="1">
        <v>21.81</v>
      </c>
    </row>
    <row r="15" spans="1:7" x14ac:dyDescent="0.25">
      <c r="A15" s="1" t="s">
        <v>19</v>
      </c>
      <c r="B15" s="1">
        <v>2</v>
      </c>
      <c r="C15" s="1">
        <v>6</v>
      </c>
      <c r="D15" s="1">
        <v>5</v>
      </c>
      <c r="E15" s="1">
        <v>3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154.47</v>
      </c>
      <c r="C17" s="1">
        <v>137.88</v>
      </c>
      <c r="D17" s="1">
        <v>90.92</v>
      </c>
      <c r="E17" s="1">
        <v>87.93</v>
      </c>
      <c r="F17" s="1">
        <v>62.77</v>
      </c>
      <c r="G17" s="1">
        <v>61.96</v>
      </c>
    </row>
    <row r="18" spans="1:7" x14ac:dyDescent="0.25">
      <c r="A18" s="1" t="s">
        <v>22</v>
      </c>
      <c r="B18" s="1">
        <v>206.15</v>
      </c>
      <c r="C18" s="1">
        <v>183.41</v>
      </c>
      <c r="D18" s="1">
        <v>194.24</v>
      </c>
      <c r="E18" s="1">
        <v>67.22</v>
      </c>
      <c r="F18" s="1">
        <v>77.77</v>
      </c>
      <c r="G18" s="1">
        <v>75.98</v>
      </c>
    </row>
    <row r="19" spans="1:7" x14ac:dyDescent="0.25">
      <c r="A19" s="1" t="s">
        <v>23</v>
      </c>
      <c r="B19" s="1">
        <v>1</v>
      </c>
      <c r="C19" s="1">
        <v>1</v>
      </c>
      <c r="D19" s="1">
        <v>1</v>
      </c>
      <c r="E19" s="1">
        <v>2</v>
      </c>
      <c r="F19" s="1">
        <v>3</v>
      </c>
      <c r="G19" s="1">
        <v>1</v>
      </c>
    </row>
    <row r="20" spans="1:7" x14ac:dyDescent="0.25">
      <c r="A20" s="1" t="s">
        <v>24</v>
      </c>
      <c r="B20" s="1">
        <v>2.1</v>
      </c>
      <c r="C20" s="1">
        <v>1.7</v>
      </c>
      <c r="D20" s="1">
        <v>3.6</v>
      </c>
      <c r="E20" s="1">
        <v>3.4</v>
      </c>
      <c r="F20" s="1">
        <v>5.7</v>
      </c>
      <c r="G20" s="1">
        <v>1.4</v>
      </c>
    </row>
    <row r="21" spans="1:7" x14ac:dyDescent="0.25">
      <c r="A21" s="1" t="s">
        <v>25</v>
      </c>
      <c r="B21" s="1">
        <v>8</v>
      </c>
      <c r="C21" s="1">
        <v>8.3000000000000007</v>
      </c>
      <c r="D21" s="1">
        <v>6.4</v>
      </c>
      <c r="E21" s="1">
        <v>6.6</v>
      </c>
      <c r="F21" s="1">
        <v>4.3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9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90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0.02</v>
      </c>
      <c r="C33" s="3">
        <v>-0.61</v>
      </c>
      <c r="D33" s="3">
        <v>-12.26</v>
      </c>
      <c r="E33" s="3">
        <v>0.72</v>
      </c>
      <c r="F33" s="3">
        <v>-0.51</v>
      </c>
      <c r="G33" s="3">
        <v>0.52</v>
      </c>
    </row>
    <row r="35" spans="1:7" x14ac:dyDescent="0.25">
      <c r="A35" s="3" t="s">
        <v>36</v>
      </c>
      <c r="B35" s="3"/>
      <c r="C35" s="3"/>
      <c r="D35" s="3">
        <f>D33-C33</f>
        <v>-11.65</v>
      </c>
      <c r="E35" s="3"/>
      <c r="F35" s="3">
        <f>F33-E33</f>
        <v>-1.23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12.98</v>
      </c>
      <c r="F37" s="3"/>
      <c r="G37" s="3">
        <f>G33-F33</f>
        <v>1.03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F35A-A1A5-44C1-8FF1-31EEE16730AD}">
  <dimension ref="A1:G37"/>
  <sheetViews>
    <sheetView zoomScale="80" zoomScaleNormal="80" workbookViewId="0">
      <selection activeCell="I39" sqref="I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530.47</v>
      </c>
      <c r="C2" s="1">
        <v>531.69000000000005</v>
      </c>
      <c r="D2" s="1">
        <v>531.15</v>
      </c>
      <c r="E2" s="1">
        <v>528.88</v>
      </c>
      <c r="F2" s="1">
        <v>510.56</v>
      </c>
      <c r="G2" s="1">
        <v>484.51</v>
      </c>
    </row>
    <row r="3" spans="1:7" x14ac:dyDescent="0.25">
      <c r="A3" s="1" t="s">
        <v>7</v>
      </c>
      <c r="B3" s="1">
        <v>52.76</v>
      </c>
      <c r="C3" s="1">
        <v>53.15</v>
      </c>
      <c r="D3" s="1">
        <v>53.11</v>
      </c>
      <c r="E3" s="1">
        <v>53.05</v>
      </c>
      <c r="F3" s="1">
        <v>52.96</v>
      </c>
      <c r="G3" s="1">
        <v>50.65</v>
      </c>
    </row>
    <row r="4" spans="1:7" x14ac:dyDescent="0.25">
      <c r="A4" s="1" t="s">
        <v>8</v>
      </c>
      <c r="B4" s="1">
        <v>28471.17</v>
      </c>
      <c r="C4" s="1">
        <v>28747.37</v>
      </c>
      <c r="D4" s="1">
        <v>28695.45</v>
      </c>
      <c r="E4" s="1">
        <v>28541.43</v>
      </c>
      <c r="F4" s="1">
        <v>27502.98</v>
      </c>
      <c r="G4" s="1">
        <v>24954.25</v>
      </c>
    </row>
    <row r="5" spans="1:7" x14ac:dyDescent="0.25">
      <c r="A5" s="1" t="s">
        <v>9</v>
      </c>
      <c r="B5" s="1">
        <v>68.05</v>
      </c>
      <c r="C5" s="1">
        <v>69.42</v>
      </c>
      <c r="D5" s="1">
        <v>81.599999999999994</v>
      </c>
      <c r="E5" s="1">
        <v>51.84</v>
      </c>
      <c r="F5" s="1">
        <v>575.34</v>
      </c>
      <c r="G5" s="1">
        <v>1682.36</v>
      </c>
    </row>
    <row r="6" spans="1:7" x14ac:dyDescent="0.25">
      <c r="A6" s="3" t="s">
        <v>10</v>
      </c>
      <c r="B6" s="3">
        <v>6.8</v>
      </c>
      <c r="C6" s="3">
        <v>7.01</v>
      </c>
      <c r="D6" s="3">
        <v>8.24</v>
      </c>
      <c r="E6" s="3">
        <v>5.24</v>
      </c>
      <c r="F6" s="3">
        <v>58.12</v>
      </c>
      <c r="G6" s="3">
        <v>171.67</v>
      </c>
    </row>
    <row r="7" spans="1:7" x14ac:dyDescent="0.25">
      <c r="A7" s="1" t="s">
        <v>11</v>
      </c>
      <c r="B7" s="1">
        <v>62.98</v>
      </c>
      <c r="C7" s="1">
        <v>63.89</v>
      </c>
      <c r="D7" s="1">
        <v>75.92</v>
      </c>
      <c r="E7" s="1">
        <v>43.55</v>
      </c>
      <c r="F7" s="1">
        <v>561.84</v>
      </c>
      <c r="G7" s="1">
        <v>1567.96</v>
      </c>
    </row>
    <row r="8" spans="1:7" x14ac:dyDescent="0.25">
      <c r="A8" s="1" t="s">
        <v>12</v>
      </c>
      <c r="B8" s="1">
        <v>6.3</v>
      </c>
      <c r="C8" s="1">
        <v>6.45</v>
      </c>
      <c r="D8" s="1">
        <v>7.67</v>
      </c>
      <c r="E8" s="1">
        <v>4.4000000000000004</v>
      </c>
      <c r="F8" s="1">
        <v>56.75</v>
      </c>
      <c r="G8" s="1">
        <v>160</v>
      </c>
    </row>
    <row r="9" spans="1:7" x14ac:dyDescent="0.25">
      <c r="A9" s="1" t="s">
        <v>13</v>
      </c>
      <c r="B9" s="1">
        <v>7.56</v>
      </c>
      <c r="C9" s="1">
        <v>-7.14</v>
      </c>
      <c r="D9" s="1">
        <v>-20.420000000000002</v>
      </c>
      <c r="E9" s="1">
        <v>4.51</v>
      </c>
      <c r="F9" s="1">
        <v>545.70000000000005</v>
      </c>
      <c r="G9" s="1">
        <v>1567.96</v>
      </c>
    </row>
    <row r="10" spans="1:7" x14ac:dyDescent="0.25">
      <c r="A10" s="1" t="s">
        <v>14</v>
      </c>
      <c r="B10" s="1">
        <v>0.76</v>
      </c>
      <c r="C10" s="1">
        <v>-0.72</v>
      </c>
      <c r="D10" s="1">
        <v>-2.06</v>
      </c>
      <c r="E10" s="1">
        <v>0.46</v>
      </c>
      <c r="F10" s="1">
        <v>55.12</v>
      </c>
      <c r="G10" s="1">
        <v>160</v>
      </c>
    </row>
    <row r="11" spans="1:7" x14ac:dyDescent="0.25">
      <c r="A11" s="1" t="s">
        <v>15</v>
      </c>
      <c r="B11" s="1">
        <v>2.93</v>
      </c>
      <c r="C11" s="1">
        <v>0.08</v>
      </c>
      <c r="D11" s="1">
        <v>12.72</v>
      </c>
      <c r="E11" s="1">
        <v>0.53</v>
      </c>
      <c r="F11" s="1">
        <v>385.97</v>
      </c>
      <c r="G11" s="1">
        <v>1398.82</v>
      </c>
    </row>
    <row r="12" spans="1:7" x14ac:dyDescent="0.25">
      <c r="A12" s="1" t="s">
        <v>16</v>
      </c>
      <c r="B12" s="1">
        <v>324.99</v>
      </c>
      <c r="C12" s="1">
        <v>308.33</v>
      </c>
      <c r="D12" s="1">
        <v>297.94</v>
      </c>
      <c r="E12" s="1">
        <v>302.85000000000002</v>
      </c>
      <c r="F12" s="1">
        <v>275.18</v>
      </c>
      <c r="G12" s="1">
        <v>270.04000000000002</v>
      </c>
    </row>
    <row r="13" spans="1:7" x14ac:dyDescent="0.25">
      <c r="A13" s="1" t="s">
        <v>17</v>
      </c>
      <c r="B13" s="1">
        <v>56.72</v>
      </c>
      <c r="C13" s="1">
        <v>56.6</v>
      </c>
      <c r="D13" s="1">
        <v>58.42</v>
      </c>
      <c r="E13" s="1">
        <v>62.87</v>
      </c>
      <c r="F13" s="1">
        <v>47.22</v>
      </c>
      <c r="G13" s="1">
        <v>30.13</v>
      </c>
    </row>
    <row r="14" spans="1:7" x14ac:dyDescent="0.25">
      <c r="A14" s="1" t="s">
        <v>18</v>
      </c>
      <c r="B14" s="1">
        <v>66.650000000000006</v>
      </c>
      <c r="C14" s="1">
        <v>64.95</v>
      </c>
      <c r="D14" s="1">
        <v>70.17</v>
      </c>
      <c r="E14" s="1">
        <v>65.89</v>
      </c>
      <c r="F14" s="1">
        <v>86.76</v>
      </c>
      <c r="G14" s="1">
        <v>63.51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3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35.270000000000003</v>
      </c>
      <c r="C17" s="1">
        <v>28.37</v>
      </c>
      <c r="D17" s="1">
        <v>27.75</v>
      </c>
      <c r="E17" s="1">
        <v>24.03</v>
      </c>
      <c r="F17" s="1">
        <v>553.77</v>
      </c>
      <c r="G17" s="1">
        <v>1567.96</v>
      </c>
    </row>
    <row r="18" spans="1:7" x14ac:dyDescent="0.25">
      <c r="A18" s="1" t="s">
        <v>22</v>
      </c>
      <c r="B18" s="1">
        <v>27.71</v>
      </c>
      <c r="C18" s="1">
        <v>35.520000000000003</v>
      </c>
      <c r="D18" s="1">
        <v>48.17</v>
      </c>
      <c r="E18" s="1">
        <v>19.52</v>
      </c>
      <c r="F18" s="1">
        <v>8.07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3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1.6</v>
      </c>
      <c r="C20" s="1">
        <v>0</v>
      </c>
      <c r="D20" s="1">
        <v>3.7</v>
      </c>
      <c r="E20" s="1">
        <v>1</v>
      </c>
      <c r="F20" s="1">
        <v>0</v>
      </c>
      <c r="G20" s="1">
        <v>0</v>
      </c>
    </row>
    <row r="21" spans="1:7" x14ac:dyDescent="0.25">
      <c r="A21" s="1" t="s">
        <v>25</v>
      </c>
      <c r="B21" s="1">
        <v>8.5</v>
      </c>
      <c r="C21" s="1">
        <v>10</v>
      </c>
      <c r="D21" s="1">
        <v>6.3</v>
      </c>
      <c r="E21" s="1">
        <v>9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2.7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7.3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27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73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0.28999999999999998</v>
      </c>
      <c r="C33" s="3">
        <v>-0.14000000000000001</v>
      </c>
      <c r="D33" s="3">
        <v>-1.29</v>
      </c>
      <c r="E33" s="3">
        <v>7.0000000000000007E-2</v>
      </c>
      <c r="F33" s="3">
        <v>54.2</v>
      </c>
      <c r="G33" s="3">
        <v>169.32</v>
      </c>
    </row>
    <row r="35" spans="1:7" x14ac:dyDescent="0.25">
      <c r="A35" s="3" t="s">
        <v>36</v>
      </c>
      <c r="B35" s="3"/>
      <c r="C35" s="3"/>
      <c r="D35" s="3">
        <f>D33-C33</f>
        <v>-1.1499999999999999</v>
      </c>
      <c r="E35" s="3"/>
      <c r="F35" s="3">
        <f>F33-E33</f>
        <v>54.13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1.36</v>
      </c>
      <c r="F37" s="3"/>
      <c r="G37" s="3">
        <f>G33-F33</f>
        <v>115.11999999999999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8B41-CC25-464C-B19D-A5AA05EF16A6}">
  <dimension ref="A1:G37"/>
  <sheetViews>
    <sheetView zoomScale="80" zoomScaleNormal="80" workbookViewId="0">
      <selection activeCell="L29" sqref="L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447.1</v>
      </c>
      <c r="C2" s="1">
        <v>446.24</v>
      </c>
      <c r="D2" s="1">
        <v>447.1</v>
      </c>
      <c r="E2" s="1">
        <v>445.64</v>
      </c>
      <c r="F2" s="1">
        <v>446.65</v>
      </c>
      <c r="G2" s="1">
        <v>470.39</v>
      </c>
    </row>
    <row r="3" spans="1:7" x14ac:dyDescent="0.25">
      <c r="A3" s="1" t="s">
        <v>7</v>
      </c>
      <c r="B3" s="1">
        <v>45.41</v>
      </c>
      <c r="C3" s="1">
        <v>45.13</v>
      </c>
      <c r="D3" s="1">
        <v>45.06</v>
      </c>
      <c r="E3" s="1">
        <v>44.85</v>
      </c>
      <c r="F3" s="1">
        <v>45.96</v>
      </c>
      <c r="G3" s="1">
        <v>52.86</v>
      </c>
    </row>
    <row r="4" spans="1:7" x14ac:dyDescent="0.25">
      <c r="A4" s="1" t="s">
        <v>8</v>
      </c>
      <c r="B4" s="1">
        <v>20651.43</v>
      </c>
      <c r="C4" s="1">
        <v>20483.75</v>
      </c>
      <c r="D4" s="1">
        <v>20493.599999999999</v>
      </c>
      <c r="E4" s="1">
        <v>20332.28</v>
      </c>
      <c r="F4" s="1">
        <v>20882.28</v>
      </c>
      <c r="G4" s="1">
        <v>25268.87</v>
      </c>
    </row>
    <row r="5" spans="1:7" x14ac:dyDescent="0.25">
      <c r="A5" s="1" t="s">
        <v>9</v>
      </c>
      <c r="B5" s="1">
        <v>79.239999999999995</v>
      </c>
      <c r="C5" s="1">
        <v>72.069999999999993</v>
      </c>
      <c r="D5" s="1">
        <v>79.959999999999994</v>
      </c>
      <c r="E5" s="1">
        <v>91.63</v>
      </c>
      <c r="F5" s="1">
        <v>292.57</v>
      </c>
      <c r="G5" s="1">
        <v>1192.94</v>
      </c>
    </row>
    <row r="6" spans="1:7" x14ac:dyDescent="0.25">
      <c r="A6" s="3" t="s">
        <v>10</v>
      </c>
      <c r="B6" s="3">
        <v>7.92</v>
      </c>
      <c r="C6" s="3">
        <v>7.28</v>
      </c>
      <c r="D6" s="3">
        <v>8.08</v>
      </c>
      <c r="E6" s="3">
        <v>9.26</v>
      </c>
      <c r="F6" s="3">
        <v>29.55</v>
      </c>
      <c r="G6" s="3">
        <v>121.73</v>
      </c>
    </row>
    <row r="7" spans="1:7" x14ac:dyDescent="0.25">
      <c r="A7" s="1" t="s">
        <v>11</v>
      </c>
      <c r="B7" s="1">
        <v>73.709999999999994</v>
      </c>
      <c r="C7" s="1">
        <v>63.85</v>
      </c>
      <c r="D7" s="1">
        <v>72.959999999999994</v>
      </c>
      <c r="E7" s="1">
        <v>85.13</v>
      </c>
      <c r="F7" s="1">
        <v>289.23</v>
      </c>
      <c r="G7" s="1">
        <v>1174.0899999999999</v>
      </c>
    </row>
    <row r="8" spans="1:7" x14ac:dyDescent="0.25">
      <c r="A8" s="1" t="s">
        <v>12</v>
      </c>
      <c r="B8" s="1">
        <v>7.37</v>
      </c>
      <c r="C8" s="1">
        <v>6.45</v>
      </c>
      <c r="D8" s="1">
        <v>7.37</v>
      </c>
      <c r="E8" s="1">
        <v>8.6</v>
      </c>
      <c r="F8" s="1">
        <v>29.22</v>
      </c>
      <c r="G8" s="1">
        <v>119.81</v>
      </c>
    </row>
    <row r="9" spans="1:7" x14ac:dyDescent="0.25">
      <c r="A9" s="1" t="s">
        <v>13</v>
      </c>
      <c r="B9" s="1">
        <v>7.2</v>
      </c>
      <c r="C9" s="1">
        <v>-8.41</v>
      </c>
      <c r="D9" s="1">
        <v>7.16</v>
      </c>
      <c r="E9" s="1">
        <v>-8.32</v>
      </c>
      <c r="F9" s="1">
        <v>240.77</v>
      </c>
      <c r="G9" s="1">
        <v>1174.0899999999999</v>
      </c>
    </row>
    <row r="10" spans="1:7" x14ac:dyDescent="0.25">
      <c r="A10" s="1" t="s">
        <v>14</v>
      </c>
      <c r="B10" s="1">
        <v>0.72</v>
      </c>
      <c r="C10" s="1">
        <v>-0.85</v>
      </c>
      <c r="D10" s="1">
        <v>0.72</v>
      </c>
      <c r="E10" s="1">
        <v>-0.84</v>
      </c>
      <c r="F10" s="1">
        <v>24.32</v>
      </c>
      <c r="G10" s="1">
        <v>119.81</v>
      </c>
    </row>
    <row r="11" spans="1:7" x14ac:dyDescent="0.25">
      <c r="A11" s="1" t="s">
        <v>15</v>
      </c>
      <c r="B11" s="1">
        <v>2.2200000000000002</v>
      </c>
      <c r="C11" s="1">
        <v>1.88</v>
      </c>
      <c r="D11" s="1">
        <v>4.33</v>
      </c>
      <c r="E11" s="1">
        <v>1.1100000000000001</v>
      </c>
      <c r="F11" s="1">
        <v>196.69</v>
      </c>
      <c r="G11" s="1">
        <v>1028.7</v>
      </c>
    </row>
    <row r="12" spans="1:7" x14ac:dyDescent="0.25">
      <c r="A12" s="1" t="s">
        <v>16</v>
      </c>
      <c r="B12" s="1">
        <v>243.31</v>
      </c>
      <c r="C12" s="1">
        <v>234.75</v>
      </c>
      <c r="D12" s="1">
        <v>248.42</v>
      </c>
      <c r="E12" s="1">
        <v>234.92</v>
      </c>
      <c r="F12" s="1">
        <v>254.33</v>
      </c>
      <c r="G12" s="1">
        <v>241.94</v>
      </c>
    </row>
    <row r="13" spans="1:7" x14ac:dyDescent="0.25">
      <c r="A13" s="1" t="s">
        <v>17</v>
      </c>
      <c r="B13" s="1">
        <v>9.94</v>
      </c>
      <c r="C13" s="1">
        <v>10.07</v>
      </c>
      <c r="D13" s="1">
        <v>9.9700000000000006</v>
      </c>
      <c r="E13" s="1">
        <v>10.16</v>
      </c>
      <c r="F13" s="1">
        <v>19.739999999999998</v>
      </c>
      <c r="G13" s="1">
        <v>23.81</v>
      </c>
    </row>
    <row r="14" spans="1:7" x14ac:dyDescent="0.25">
      <c r="A14" s="1" t="s">
        <v>18</v>
      </c>
      <c r="B14" s="1">
        <v>15.01</v>
      </c>
      <c r="C14" s="1">
        <v>13.3</v>
      </c>
      <c r="D14" s="1">
        <v>12.76</v>
      </c>
      <c r="E14" s="1">
        <v>13.91</v>
      </c>
      <c r="F14" s="1">
        <v>48.87</v>
      </c>
      <c r="G14" s="1">
        <v>63.27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40.450000000000003</v>
      </c>
      <c r="C17" s="1">
        <v>27.72</v>
      </c>
      <c r="D17" s="1">
        <v>40.06</v>
      </c>
      <c r="E17" s="1">
        <v>38.409999999999997</v>
      </c>
      <c r="F17" s="1">
        <v>265</v>
      </c>
      <c r="G17" s="1">
        <v>1174.0899999999999</v>
      </c>
    </row>
    <row r="18" spans="1:7" x14ac:dyDescent="0.25">
      <c r="A18" s="1" t="s">
        <v>22</v>
      </c>
      <c r="B18" s="1">
        <v>33.26</v>
      </c>
      <c r="C18" s="1">
        <v>36.130000000000003</v>
      </c>
      <c r="D18" s="1">
        <v>32.9</v>
      </c>
      <c r="E18" s="1">
        <v>46.73</v>
      </c>
      <c r="F18" s="1">
        <v>24.23</v>
      </c>
      <c r="G18" s="1">
        <v>0</v>
      </c>
    </row>
    <row r="19" spans="1:7" x14ac:dyDescent="0.25">
      <c r="A19" s="1" t="s">
        <v>23</v>
      </c>
      <c r="B19" s="1">
        <v>0</v>
      </c>
      <c r="C19" s="1">
        <v>2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2.8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7.2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8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2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80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20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0.47</v>
      </c>
      <c r="C33" s="3">
        <v>-0.38</v>
      </c>
      <c r="D33" s="3">
        <v>7.0000000000000007E-2</v>
      </c>
      <c r="E33" s="3">
        <v>-0.18</v>
      </c>
      <c r="F33" s="3">
        <v>22.21</v>
      </c>
      <c r="G33" s="3">
        <v>124.29</v>
      </c>
    </row>
    <row r="35" spans="1:7" x14ac:dyDescent="0.25">
      <c r="A35" s="3" t="s">
        <v>36</v>
      </c>
      <c r="B35" s="3"/>
      <c r="C35" s="3"/>
      <c r="D35" s="3">
        <f>D33-C33</f>
        <v>0.45</v>
      </c>
      <c r="E35" s="3"/>
      <c r="F35" s="3">
        <f>F33-E33</f>
        <v>22.39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-0.25</v>
      </c>
      <c r="F37" s="3"/>
      <c r="G37" s="3">
        <f>G33-F33</f>
        <v>102.08000000000001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1013-4993-4153-9443-F45B5C1C3F26}">
  <dimension ref="A1:G37"/>
  <sheetViews>
    <sheetView zoomScale="80" zoomScaleNormal="80" workbookViewId="0">
      <selection activeCell="J34" sqref="J3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530.11</v>
      </c>
      <c r="C2" s="1">
        <v>534.33000000000004</v>
      </c>
      <c r="D2" s="1">
        <v>530.94000000000005</v>
      </c>
      <c r="E2" s="1">
        <v>533.32000000000005</v>
      </c>
      <c r="F2" s="1">
        <v>495.08</v>
      </c>
      <c r="G2" s="1">
        <v>537.28</v>
      </c>
    </row>
    <row r="3" spans="1:7" x14ac:dyDescent="0.25">
      <c r="A3" s="1" t="s">
        <v>7</v>
      </c>
      <c r="B3" s="1">
        <v>48.54</v>
      </c>
      <c r="C3" s="1">
        <v>48.61</v>
      </c>
      <c r="D3" s="1">
        <v>48.77</v>
      </c>
      <c r="E3" s="1">
        <v>49.05</v>
      </c>
      <c r="F3" s="1">
        <v>50.56</v>
      </c>
      <c r="G3" s="1">
        <v>47.44</v>
      </c>
    </row>
    <row r="4" spans="1:7" x14ac:dyDescent="0.25">
      <c r="A4" s="1" t="s">
        <v>8</v>
      </c>
      <c r="B4" s="1">
        <v>26176.799999999999</v>
      </c>
      <c r="C4" s="1">
        <v>26422.6</v>
      </c>
      <c r="D4" s="1">
        <v>26337.25</v>
      </c>
      <c r="E4" s="1">
        <v>26608.48</v>
      </c>
      <c r="F4" s="1">
        <v>25409.18</v>
      </c>
      <c r="G4" s="1">
        <v>25928.22</v>
      </c>
    </row>
    <row r="5" spans="1:7" x14ac:dyDescent="0.25">
      <c r="A5" s="1" t="s">
        <v>9</v>
      </c>
      <c r="B5" s="1">
        <v>52.59</v>
      </c>
      <c r="C5" s="1">
        <v>49</v>
      </c>
      <c r="D5" s="1">
        <v>52.3</v>
      </c>
      <c r="E5" s="1">
        <v>59.12</v>
      </c>
      <c r="F5" s="1">
        <v>309.66000000000003</v>
      </c>
      <c r="G5" s="1">
        <v>67.69</v>
      </c>
    </row>
    <row r="6" spans="1:7" x14ac:dyDescent="0.25">
      <c r="A6" s="3" t="s">
        <v>10</v>
      </c>
      <c r="B6" s="3">
        <v>5.26</v>
      </c>
      <c r="C6" s="3">
        <v>4.95</v>
      </c>
      <c r="D6" s="3">
        <v>5.28</v>
      </c>
      <c r="E6" s="3">
        <v>5.97</v>
      </c>
      <c r="F6" s="3">
        <v>31.28</v>
      </c>
      <c r="G6" s="3">
        <v>6.91</v>
      </c>
    </row>
    <row r="7" spans="1:7" x14ac:dyDescent="0.25">
      <c r="A7" s="1" t="s">
        <v>11</v>
      </c>
      <c r="B7" s="1">
        <v>50.31</v>
      </c>
      <c r="C7" s="1">
        <v>43.31</v>
      </c>
      <c r="D7" s="1">
        <v>48.82</v>
      </c>
      <c r="E7" s="1">
        <v>54.3</v>
      </c>
      <c r="F7" s="1">
        <v>305.61</v>
      </c>
      <c r="G7" s="1">
        <v>61.24</v>
      </c>
    </row>
    <row r="8" spans="1:7" x14ac:dyDescent="0.25">
      <c r="A8" s="1" t="s">
        <v>12</v>
      </c>
      <c r="B8" s="1">
        <v>5.03</v>
      </c>
      <c r="C8" s="1">
        <v>4.37</v>
      </c>
      <c r="D8" s="1">
        <v>4.93</v>
      </c>
      <c r="E8" s="1">
        <v>5.49</v>
      </c>
      <c r="F8" s="1">
        <v>30.87</v>
      </c>
      <c r="G8" s="1">
        <v>6.25</v>
      </c>
    </row>
    <row r="9" spans="1:7" x14ac:dyDescent="0.25">
      <c r="A9" s="1" t="s">
        <v>13</v>
      </c>
      <c r="B9" s="1">
        <v>-3.74</v>
      </c>
      <c r="C9" s="1">
        <v>3.72</v>
      </c>
      <c r="D9" s="1">
        <v>7.48</v>
      </c>
      <c r="E9" s="1">
        <v>5.47</v>
      </c>
      <c r="F9" s="1">
        <v>293.37</v>
      </c>
      <c r="G9" s="1">
        <v>-7.56</v>
      </c>
    </row>
    <row r="10" spans="1:7" x14ac:dyDescent="0.25">
      <c r="A10" s="1" t="s">
        <v>14</v>
      </c>
      <c r="B10" s="1">
        <v>-0.37</v>
      </c>
      <c r="C10" s="1">
        <v>0.38</v>
      </c>
      <c r="D10" s="1">
        <v>0.76</v>
      </c>
      <c r="E10" s="1">
        <v>0.55000000000000004</v>
      </c>
      <c r="F10" s="1">
        <v>29.63</v>
      </c>
      <c r="G10" s="1">
        <v>-0.77</v>
      </c>
    </row>
    <row r="11" spans="1:7" x14ac:dyDescent="0.25">
      <c r="A11" s="1" t="s">
        <v>15</v>
      </c>
      <c r="B11" s="1">
        <v>0.99</v>
      </c>
      <c r="C11" s="1">
        <v>2.25</v>
      </c>
      <c r="D11" s="1">
        <v>0.98</v>
      </c>
      <c r="E11" s="1">
        <v>3.6</v>
      </c>
      <c r="F11" s="1">
        <v>284.41000000000003</v>
      </c>
      <c r="G11" s="1">
        <v>6.6</v>
      </c>
    </row>
    <row r="12" spans="1:7" x14ac:dyDescent="0.25">
      <c r="A12" s="1" t="s">
        <v>16</v>
      </c>
      <c r="B12" s="1">
        <v>257.61</v>
      </c>
      <c r="C12" s="1">
        <v>216.58</v>
      </c>
      <c r="D12" s="1">
        <v>241.87</v>
      </c>
      <c r="E12" s="1">
        <v>237.94</v>
      </c>
      <c r="F12" s="1">
        <v>228.61</v>
      </c>
      <c r="G12" s="1">
        <v>224.7</v>
      </c>
    </row>
    <row r="13" spans="1:7" x14ac:dyDescent="0.25">
      <c r="A13" s="1" t="s">
        <v>17</v>
      </c>
      <c r="B13" s="1">
        <v>29.62</v>
      </c>
      <c r="C13" s="1">
        <v>28.39</v>
      </c>
      <c r="D13" s="1">
        <v>29.39</v>
      </c>
      <c r="E13" s="1">
        <v>29.87</v>
      </c>
      <c r="F13" s="1">
        <v>26.04</v>
      </c>
      <c r="G13" s="1">
        <v>23.9</v>
      </c>
    </row>
    <row r="14" spans="1:7" x14ac:dyDescent="0.25">
      <c r="A14" s="1" t="s">
        <v>18</v>
      </c>
      <c r="B14" s="1">
        <v>31.76</v>
      </c>
      <c r="C14" s="1">
        <v>31.27</v>
      </c>
      <c r="D14" s="1">
        <v>31.91</v>
      </c>
      <c r="E14" s="1">
        <v>32.21</v>
      </c>
      <c r="F14" s="1">
        <v>51.25</v>
      </c>
      <c r="G14" s="1">
        <v>27.21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23.29</v>
      </c>
      <c r="C17" s="1">
        <v>23.51</v>
      </c>
      <c r="D17" s="1">
        <v>28.15</v>
      </c>
      <c r="E17" s="1">
        <v>29.89</v>
      </c>
      <c r="F17" s="1">
        <v>299.49</v>
      </c>
      <c r="G17" s="1">
        <v>26.84</v>
      </c>
    </row>
    <row r="18" spans="1:7" x14ac:dyDescent="0.25">
      <c r="A18" s="1" t="s">
        <v>22</v>
      </c>
      <c r="B18" s="1">
        <v>27.03</v>
      </c>
      <c r="C18" s="1">
        <v>19.8</v>
      </c>
      <c r="D18" s="1">
        <v>20.67</v>
      </c>
      <c r="E18" s="1">
        <v>24.41</v>
      </c>
      <c r="F18" s="1">
        <v>6.12</v>
      </c>
      <c r="G18" s="1">
        <v>34.4</v>
      </c>
    </row>
    <row r="19" spans="1:7" x14ac:dyDescent="0.25">
      <c r="A19" s="1" t="s">
        <v>23</v>
      </c>
      <c r="B19" s="1">
        <v>2</v>
      </c>
      <c r="C19" s="1">
        <v>0</v>
      </c>
      <c r="D19" s="1">
        <v>3</v>
      </c>
      <c r="E19" s="1">
        <v>1</v>
      </c>
      <c r="F19" s="1">
        <v>1</v>
      </c>
      <c r="G19" s="1">
        <v>3</v>
      </c>
    </row>
    <row r="20" spans="1:7" x14ac:dyDescent="0.25">
      <c r="A20" s="1" t="s">
        <v>24</v>
      </c>
      <c r="B20" s="1">
        <v>2.8</v>
      </c>
      <c r="C20" s="1">
        <v>0</v>
      </c>
      <c r="D20" s="1">
        <v>3.7</v>
      </c>
      <c r="E20" s="1">
        <v>1.2</v>
      </c>
      <c r="F20" s="1">
        <v>1</v>
      </c>
      <c r="G20" s="1">
        <v>3.1</v>
      </c>
    </row>
    <row r="21" spans="1:7" x14ac:dyDescent="0.25">
      <c r="A21" s="1" t="s">
        <v>25</v>
      </c>
      <c r="B21" s="1">
        <v>7.3</v>
      </c>
      <c r="C21" s="1">
        <v>10</v>
      </c>
      <c r="D21" s="1">
        <v>6.3</v>
      </c>
      <c r="E21" s="1">
        <v>8.8000000000000007</v>
      </c>
      <c r="F21" s="1">
        <v>9</v>
      </c>
      <c r="G21" s="1">
        <v>6.8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5.8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4.2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57.999999999999993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42.000000000000007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-0.31</v>
      </c>
      <c r="C33" s="3">
        <v>0.2</v>
      </c>
      <c r="D33" s="3">
        <v>0.12</v>
      </c>
      <c r="E33" s="3">
        <v>0.2</v>
      </c>
      <c r="F33" s="3">
        <v>28.67</v>
      </c>
      <c r="G33" s="3">
        <v>-0.82</v>
      </c>
    </row>
    <row r="35" spans="1:7" x14ac:dyDescent="0.25">
      <c r="A35" s="3" t="s">
        <v>36</v>
      </c>
      <c r="B35" s="3"/>
      <c r="C35" s="3"/>
      <c r="D35" s="3">
        <f>D33-C33</f>
        <v>-8.0000000000000016E-2</v>
      </c>
      <c r="E35" s="3"/>
      <c r="F35" s="3">
        <f>F33-E33</f>
        <v>28.470000000000002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8.0000000000000016E-2</v>
      </c>
      <c r="F37" s="3"/>
      <c r="G37" s="3">
        <f>G33-F33</f>
        <v>-29.490000000000002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941C-8AFA-45D3-A1DF-82848C439562}">
  <dimension ref="A1:G37"/>
  <sheetViews>
    <sheetView tabSelected="1" zoomScale="80" zoomScaleNormal="80" workbookViewId="0">
      <selection activeCell="M36" sqref="M3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441.59</v>
      </c>
      <c r="C2" s="1">
        <v>479.63</v>
      </c>
      <c r="D2" s="1">
        <v>452.63</v>
      </c>
      <c r="E2" s="1">
        <v>438.49</v>
      </c>
      <c r="F2" s="1">
        <v>439.94</v>
      </c>
      <c r="G2" s="1">
        <v>443.39</v>
      </c>
    </row>
    <row r="3" spans="1:7" x14ac:dyDescent="0.25">
      <c r="A3" s="1" t="s">
        <v>7</v>
      </c>
      <c r="B3" s="1">
        <v>48.2</v>
      </c>
      <c r="C3" s="1">
        <v>53.76</v>
      </c>
      <c r="D3" s="1">
        <v>48.1</v>
      </c>
      <c r="E3" s="1">
        <v>47.02</v>
      </c>
      <c r="F3" s="1">
        <v>47.97</v>
      </c>
      <c r="G3" s="1">
        <v>45.52</v>
      </c>
    </row>
    <row r="4" spans="1:7" x14ac:dyDescent="0.25">
      <c r="A4" s="1" t="s">
        <v>8</v>
      </c>
      <c r="B4" s="1">
        <v>21628.37</v>
      </c>
      <c r="C4" s="1">
        <v>26218.76</v>
      </c>
      <c r="D4" s="1">
        <v>22151.75</v>
      </c>
      <c r="E4" s="1">
        <v>20937.62</v>
      </c>
      <c r="F4" s="1">
        <v>21410.25</v>
      </c>
      <c r="G4" s="1">
        <v>20534.189999999999</v>
      </c>
    </row>
    <row r="5" spans="1:7" x14ac:dyDescent="0.25">
      <c r="A5" s="1" t="s">
        <v>9</v>
      </c>
      <c r="B5" s="1">
        <v>2757.43</v>
      </c>
      <c r="C5" s="1">
        <v>3002.01</v>
      </c>
      <c r="D5" s="1">
        <v>2747.42</v>
      </c>
      <c r="E5" s="1">
        <v>2208.4499999999998</v>
      </c>
      <c r="F5" s="1">
        <v>2389.5500000000002</v>
      </c>
      <c r="G5" s="1">
        <v>2204.2199999999998</v>
      </c>
    </row>
    <row r="6" spans="1:7" x14ac:dyDescent="0.25">
      <c r="A6" s="3" t="s">
        <v>10</v>
      </c>
      <c r="B6" s="3">
        <v>275.74</v>
      </c>
      <c r="C6" s="3">
        <v>303.23</v>
      </c>
      <c r="D6" s="3">
        <v>277.52</v>
      </c>
      <c r="E6" s="3">
        <v>223.08</v>
      </c>
      <c r="F6" s="3">
        <v>241.37</v>
      </c>
      <c r="G6" s="3">
        <v>224.92</v>
      </c>
    </row>
    <row r="7" spans="1:7" x14ac:dyDescent="0.25">
      <c r="A7" s="1" t="s">
        <v>11</v>
      </c>
      <c r="B7" s="1">
        <v>2493.9699999999998</v>
      </c>
      <c r="C7" s="1">
        <v>2861.38</v>
      </c>
      <c r="D7" s="1">
        <v>2578.56</v>
      </c>
      <c r="E7" s="1">
        <v>2041.61</v>
      </c>
      <c r="F7" s="1">
        <v>2141.16</v>
      </c>
      <c r="G7" s="1">
        <v>2108.44</v>
      </c>
    </row>
    <row r="8" spans="1:7" x14ac:dyDescent="0.25">
      <c r="A8" s="1" t="s">
        <v>12</v>
      </c>
      <c r="B8" s="1">
        <v>249.4</v>
      </c>
      <c r="C8" s="1">
        <v>289.02999999999997</v>
      </c>
      <c r="D8" s="1">
        <v>260.45999999999998</v>
      </c>
      <c r="E8" s="1">
        <v>206.22</v>
      </c>
      <c r="F8" s="1">
        <v>216.28</v>
      </c>
      <c r="G8" s="1">
        <v>215.15</v>
      </c>
    </row>
    <row r="9" spans="1:7" x14ac:dyDescent="0.25">
      <c r="A9" s="1" t="s">
        <v>13</v>
      </c>
      <c r="B9" s="1">
        <v>2493.9699999999998</v>
      </c>
      <c r="C9" s="1">
        <v>2861.38</v>
      </c>
      <c r="D9" s="1">
        <v>2578.56</v>
      </c>
      <c r="E9" s="1">
        <v>1836.08</v>
      </c>
      <c r="F9" s="1">
        <v>2018.6</v>
      </c>
      <c r="G9" s="1">
        <v>2041.58</v>
      </c>
    </row>
    <row r="10" spans="1:7" x14ac:dyDescent="0.25">
      <c r="A10" s="1" t="s">
        <v>14</v>
      </c>
      <c r="B10" s="1">
        <v>249.4</v>
      </c>
      <c r="C10" s="1">
        <v>289.02999999999997</v>
      </c>
      <c r="D10" s="1">
        <v>260.45999999999998</v>
      </c>
      <c r="E10" s="1">
        <v>185.46</v>
      </c>
      <c r="F10" s="1">
        <v>203.9</v>
      </c>
      <c r="G10" s="1">
        <v>208.32</v>
      </c>
    </row>
    <row r="11" spans="1:7" x14ac:dyDescent="0.25">
      <c r="A11" s="1" t="s">
        <v>15</v>
      </c>
      <c r="B11" s="1">
        <v>2307.9699999999998</v>
      </c>
      <c r="C11" s="1">
        <v>2524.08</v>
      </c>
      <c r="D11" s="1">
        <v>2228.89</v>
      </c>
      <c r="E11" s="1">
        <v>1326.41</v>
      </c>
      <c r="F11" s="1">
        <v>1320.75</v>
      </c>
      <c r="G11" s="1">
        <v>1486.02</v>
      </c>
    </row>
    <row r="12" spans="1:7" x14ac:dyDescent="0.25">
      <c r="A12" s="1" t="s">
        <v>16</v>
      </c>
      <c r="B12" s="1">
        <v>275.82</v>
      </c>
      <c r="C12" s="1">
        <v>298.45999999999998</v>
      </c>
      <c r="D12" s="1">
        <v>285.70999999999998</v>
      </c>
      <c r="E12" s="1">
        <v>270.63</v>
      </c>
      <c r="F12" s="1">
        <v>263.69</v>
      </c>
      <c r="G12" s="1">
        <v>283.12</v>
      </c>
    </row>
    <row r="13" spans="1:7" x14ac:dyDescent="0.25">
      <c r="A13" s="1" t="s">
        <v>17</v>
      </c>
      <c r="B13" s="1">
        <v>31.57</v>
      </c>
      <c r="C13" s="1">
        <v>38.61</v>
      </c>
      <c r="D13" s="1">
        <v>32.409999999999997</v>
      </c>
      <c r="E13" s="1">
        <v>34.340000000000003</v>
      </c>
      <c r="F13" s="1">
        <v>38.49</v>
      </c>
      <c r="G13" s="1">
        <v>40.67</v>
      </c>
    </row>
    <row r="14" spans="1:7" x14ac:dyDescent="0.25">
      <c r="A14" s="1" t="s">
        <v>18</v>
      </c>
      <c r="B14" s="1">
        <v>76.03</v>
      </c>
      <c r="C14" s="1">
        <v>78.31</v>
      </c>
      <c r="D14" s="1">
        <v>64.06</v>
      </c>
      <c r="E14" s="1">
        <v>85.48</v>
      </c>
      <c r="F14" s="1">
        <v>78.08</v>
      </c>
      <c r="G14" s="1">
        <v>77.209999999999994</v>
      </c>
    </row>
    <row r="15" spans="1:7" x14ac:dyDescent="0.25">
      <c r="A15" s="1" t="s">
        <v>19</v>
      </c>
      <c r="B15" s="1">
        <v>10</v>
      </c>
      <c r="C15" s="1">
        <v>10</v>
      </c>
      <c r="D15" s="1">
        <v>8</v>
      </c>
      <c r="E15" s="1">
        <v>11</v>
      </c>
      <c r="F15" s="1">
        <v>9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2493.9699999999998</v>
      </c>
      <c r="C17" s="1">
        <v>2861.38</v>
      </c>
      <c r="D17" s="1">
        <v>2578.56</v>
      </c>
      <c r="E17" s="1">
        <v>1938.84</v>
      </c>
      <c r="F17" s="1">
        <v>2079.88</v>
      </c>
      <c r="G17" s="1">
        <v>2075.0100000000002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102.77</v>
      </c>
      <c r="F18" s="1">
        <v>61.28</v>
      </c>
      <c r="G18" s="1">
        <v>33.43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1.1000000000000001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8.9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7.9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21.000000000000004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79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268.93</v>
      </c>
      <c r="C33" s="3">
        <v>296.58999999999997</v>
      </c>
      <c r="D33" s="3">
        <v>273.98</v>
      </c>
      <c r="E33" s="3">
        <v>178.46</v>
      </c>
      <c r="F33" s="3">
        <v>209.16</v>
      </c>
      <c r="G33" s="3">
        <v>216.99</v>
      </c>
    </row>
    <row r="35" spans="1:7" x14ac:dyDescent="0.25">
      <c r="A35" s="3" t="s">
        <v>36</v>
      </c>
      <c r="B35" s="3"/>
      <c r="C35" s="3"/>
      <c r="D35" s="3">
        <f>D33-C33</f>
        <v>-22.609999999999957</v>
      </c>
      <c r="E35" s="3"/>
      <c r="F35" s="3">
        <f>F33-E33</f>
        <v>30.699999999999989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-95.52000000000001</v>
      </c>
      <c r="F37" s="3"/>
      <c r="G37" s="3">
        <f>G33-F33</f>
        <v>7.8300000000000125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A2A8-8577-4EE1-9382-88CB6017768F}">
  <dimension ref="A1:G37"/>
  <sheetViews>
    <sheetView zoomScale="80" zoomScaleNormal="80" workbookViewId="0">
      <selection activeCell="K13" sqref="K1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241006B001.2</vt:lpstr>
      <vt:lpstr>241006B001.3</vt:lpstr>
      <vt:lpstr>241006B001.4</vt:lpstr>
      <vt:lpstr>241006B002.1</vt:lpstr>
      <vt:lpstr>241006B002.2</vt:lpstr>
      <vt:lpstr>241006B002.3</vt:lpstr>
      <vt:lpstr>241006B002.4</vt:lpstr>
      <vt:lpstr>241006B003.2</vt:lpstr>
      <vt:lpstr>241006B003.4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2024-10-17T18:54:32Z</dcterms:created>
  <dcterms:modified xsi:type="dcterms:W3CDTF">2024-10-18T00:12:46Z</dcterms:modified>
</cp:coreProperties>
</file>