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575\2024-1008\"/>
    </mc:Choice>
  </mc:AlternateContent>
  <xr:revisionPtr revIDLastSave="0" documentId="13_ncr:1_{036009A2-2550-455D-B37D-48565CA7DAEE}" xr6:coauthVersionLast="36" xr6:coauthVersionMax="36" xr10:uidLastSave="{00000000-0000-0000-0000-000000000000}"/>
  <bookViews>
    <workbookView xWindow="0" yWindow="0" windowWidth="24360" windowHeight="10935" firstSheet="1" activeTab="7" xr2:uid="{27C0A8CE-B46D-4993-8489-5A005ABA25C8}"/>
  </bookViews>
  <sheets>
    <sheet name="241008B001.1" sheetId="2" r:id="rId1"/>
    <sheet name="241008B001.2" sheetId="3" r:id="rId2"/>
    <sheet name="241008B001.3" sheetId="4" r:id="rId3"/>
    <sheet name="241008B001.4" sheetId="5" r:id="rId4"/>
    <sheet name="241008B002.1" sheetId="6" r:id="rId5"/>
    <sheet name="241008B002.3" sheetId="7" r:id="rId6"/>
    <sheet name="241008B002.4" sheetId="8" r:id="rId7"/>
    <sheet name="241008B003.3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F31" i="9"/>
  <c r="C31" i="9"/>
  <c r="B31" i="9"/>
  <c r="F30" i="9"/>
  <c r="E30" i="9"/>
  <c r="D30" i="9"/>
  <c r="C30" i="9"/>
  <c r="B30" i="9"/>
  <c r="F29" i="9"/>
  <c r="E29" i="9"/>
  <c r="D29" i="9"/>
  <c r="C29" i="9"/>
  <c r="G28" i="9"/>
  <c r="G31" i="9" s="1"/>
  <c r="F28" i="9"/>
  <c r="E28" i="9"/>
  <c r="E31" i="9" s="1"/>
  <c r="D28" i="9"/>
  <c r="D31" i="9" s="1"/>
  <c r="C28" i="9"/>
  <c r="B28" i="9"/>
  <c r="B29" i="9" s="1"/>
  <c r="G37" i="8"/>
  <c r="E37" i="8"/>
  <c r="C37" i="8"/>
  <c r="F35" i="8"/>
  <c r="D35" i="8"/>
  <c r="G28" i="8"/>
  <c r="G30" i="8" s="1"/>
  <c r="F28" i="8"/>
  <c r="F29" i="8" s="1"/>
  <c r="E28" i="8"/>
  <c r="E30" i="8" s="1"/>
  <c r="D28" i="8"/>
  <c r="D31" i="8" s="1"/>
  <c r="C28" i="8"/>
  <c r="C29" i="8" s="1"/>
  <c r="B28" i="8"/>
  <c r="B31" i="8" s="1"/>
  <c r="G37" i="7"/>
  <c r="E37" i="7"/>
  <c r="C37" i="7"/>
  <c r="F35" i="7"/>
  <c r="D35" i="7"/>
  <c r="E31" i="7"/>
  <c r="D31" i="7"/>
  <c r="E30" i="7"/>
  <c r="D30" i="7"/>
  <c r="C30" i="7"/>
  <c r="B30" i="7"/>
  <c r="E29" i="7"/>
  <c r="G28" i="7"/>
  <c r="G31" i="7" s="1"/>
  <c r="F28" i="7"/>
  <c r="F31" i="7" s="1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C30" i="6"/>
  <c r="B30" i="6"/>
  <c r="G28" i="6"/>
  <c r="G29" i="6" s="1"/>
  <c r="F28" i="6"/>
  <c r="F30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F31" i="5"/>
  <c r="E31" i="5"/>
  <c r="B31" i="5"/>
  <c r="F30" i="5"/>
  <c r="E30" i="5"/>
  <c r="D30" i="5"/>
  <c r="C30" i="5"/>
  <c r="B30" i="5"/>
  <c r="F29" i="5"/>
  <c r="E29" i="5"/>
  <c r="D29" i="5"/>
  <c r="C29" i="5"/>
  <c r="G28" i="5"/>
  <c r="G31" i="5" s="1"/>
  <c r="F28" i="5"/>
  <c r="E28" i="5"/>
  <c r="D28" i="5"/>
  <c r="D31" i="5" s="1"/>
  <c r="C28" i="5"/>
  <c r="C31" i="5" s="1"/>
  <c r="B28" i="5"/>
  <c r="B29" i="5" s="1"/>
  <c r="G37" i="4"/>
  <c r="E37" i="4"/>
  <c r="C37" i="4"/>
  <c r="F35" i="4"/>
  <c r="D35" i="4"/>
  <c r="C30" i="4"/>
  <c r="B30" i="4"/>
  <c r="G29" i="4"/>
  <c r="D29" i="4"/>
  <c r="G28" i="4"/>
  <c r="G31" i="4" s="1"/>
  <c r="F28" i="4"/>
  <c r="F31" i="4" s="1"/>
  <c r="E28" i="4"/>
  <c r="E29" i="4" s="1"/>
  <c r="D28" i="4"/>
  <c r="D31" i="4" s="1"/>
  <c r="C28" i="4"/>
  <c r="C29" i="4" s="1"/>
  <c r="B28" i="4"/>
  <c r="B29" i="4" s="1"/>
  <c r="G37" i="3"/>
  <c r="E37" i="3"/>
  <c r="C37" i="3"/>
  <c r="F35" i="3"/>
  <c r="D35" i="3"/>
  <c r="G28" i="3"/>
  <c r="G30" i="3" s="1"/>
  <c r="F28" i="3"/>
  <c r="F30" i="3" s="1"/>
  <c r="E28" i="3"/>
  <c r="E30" i="3" s="1"/>
  <c r="D28" i="3"/>
  <c r="D31" i="3" s="1"/>
  <c r="C28" i="3"/>
  <c r="C31" i="3" s="1"/>
  <c r="B28" i="3"/>
  <c r="B29" i="3" s="1"/>
  <c r="G37" i="2"/>
  <c r="E37" i="2"/>
  <c r="C37" i="2"/>
  <c r="F35" i="2"/>
  <c r="D35" i="2"/>
  <c r="C31" i="2"/>
  <c r="B31" i="2"/>
  <c r="C30" i="2"/>
  <c r="B30" i="2"/>
  <c r="E29" i="2"/>
  <c r="G28" i="2"/>
  <c r="G31" i="2" s="1"/>
  <c r="F28" i="2"/>
  <c r="F31" i="2" s="1"/>
  <c r="E28" i="2"/>
  <c r="E31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30" i="9" l="1"/>
  <c r="G29" i="9"/>
  <c r="B29" i="8"/>
  <c r="B30" i="8"/>
  <c r="G31" i="8"/>
  <c r="F31" i="8"/>
  <c r="E31" i="8"/>
  <c r="D29" i="8"/>
  <c r="G29" i="8"/>
  <c r="F30" i="8"/>
  <c r="E29" i="8"/>
  <c r="C31" i="8"/>
  <c r="C30" i="8"/>
  <c r="D30" i="8"/>
  <c r="F30" i="7"/>
  <c r="G30" i="7"/>
  <c r="F29" i="7"/>
  <c r="C31" i="7"/>
  <c r="G29" i="7"/>
  <c r="B31" i="7"/>
  <c r="F31" i="6"/>
  <c r="E29" i="6"/>
  <c r="G31" i="6"/>
  <c r="F29" i="6"/>
  <c r="G30" i="6"/>
  <c r="D30" i="6"/>
  <c r="E30" i="6"/>
  <c r="B31" i="6"/>
  <c r="C31" i="6"/>
  <c r="D31" i="6"/>
  <c r="G29" i="5"/>
  <c r="G30" i="5"/>
  <c r="D30" i="4"/>
  <c r="F30" i="4"/>
  <c r="E30" i="4"/>
  <c r="E31" i="4"/>
  <c r="G30" i="4"/>
  <c r="F29" i="4"/>
  <c r="B31" i="4"/>
  <c r="C31" i="4"/>
  <c r="B30" i="3"/>
  <c r="B31" i="3"/>
  <c r="F31" i="3"/>
  <c r="E31" i="3"/>
  <c r="G31" i="3"/>
  <c r="E29" i="3"/>
  <c r="F29" i="3"/>
  <c r="C29" i="3"/>
  <c r="G29" i="3"/>
  <c r="C30" i="3"/>
  <c r="D30" i="3"/>
  <c r="D29" i="3"/>
  <c r="G29" i="2"/>
  <c r="G30" i="2"/>
  <c r="D30" i="2"/>
  <c r="E30" i="2"/>
  <c r="F30" i="2"/>
  <c r="D31" i="2"/>
  <c r="F29" i="2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<sst xmlns="http://schemas.openxmlformats.org/spreadsheetml/2006/main" count="342" uniqueCount="37">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</sst>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D8A9-E5F8-4D1E-A356-E21E3076D1FA}">
  <dimension ref="A1:G37"/>
  <sheetViews>
    <sheetView zoomScale="80" zoomScaleNormal="80" workbookViewId="0">
      <selection activeCell="L13" sqref="L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504.14</v>
      </c>
      <c r="C2" s="1">
        <v>504</v>
      </c>
      <c r="D2" s="1">
        <v>506.72</v>
      </c>
      <c r="E2" s="1">
        <v>503.98</v>
      </c>
      <c r="F2" s="1">
        <v>492.34</v>
      </c>
      <c r="G2" s="1">
        <v>478.71</v>
      </c>
    </row>
    <row r="3" spans="1:7" x14ac:dyDescent="0.25">
      <c r="A3" s="1" t="s">
        <v>7</v>
      </c>
      <c r="B3" s="1">
        <v>55.75</v>
      </c>
      <c r="C3" s="1">
        <v>55.59</v>
      </c>
      <c r="D3" s="1">
        <v>55.63</v>
      </c>
      <c r="E3" s="1">
        <v>55.52</v>
      </c>
      <c r="F3" s="1">
        <v>56.8</v>
      </c>
      <c r="G3" s="1">
        <v>56.83</v>
      </c>
    </row>
    <row r="4" spans="1:7" x14ac:dyDescent="0.25">
      <c r="A4" s="1" t="s">
        <v>8</v>
      </c>
      <c r="B4" s="1">
        <v>28587.83</v>
      </c>
      <c r="C4" s="1">
        <v>28499.61</v>
      </c>
      <c r="D4" s="1">
        <v>28668.959999999999</v>
      </c>
      <c r="E4" s="1">
        <v>28460.560000000001</v>
      </c>
      <c r="F4" s="1">
        <v>28435.14</v>
      </c>
      <c r="G4" s="1">
        <v>27672</v>
      </c>
    </row>
    <row r="5" spans="1:7" x14ac:dyDescent="0.25">
      <c r="A5" s="1" t="s">
        <v>9</v>
      </c>
      <c r="B5" s="1">
        <v>121.72</v>
      </c>
      <c r="C5" s="1">
        <v>93.11</v>
      </c>
      <c r="D5" s="1">
        <v>141.13</v>
      </c>
      <c r="E5" s="1">
        <v>63.56</v>
      </c>
      <c r="F5" s="1">
        <v>344.45</v>
      </c>
      <c r="G5" s="1">
        <v>399.23</v>
      </c>
    </row>
    <row r="6" spans="1:7" x14ac:dyDescent="0.25">
      <c r="A6" s="3" t="s">
        <v>10</v>
      </c>
      <c r="B6" s="3">
        <v>12.17</v>
      </c>
      <c r="C6" s="3">
        <v>9.4</v>
      </c>
      <c r="D6" s="3">
        <v>14.26</v>
      </c>
      <c r="E6" s="3">
        <v>6.42</v>
      </c>
      <c r="F6" s="3">
        <v>34.79</v>
      </c>
      <c r="G6" s="3">
        <v>40.74</v>
      </c>
    </row>
    <row r="7" spans="1:7" x14ac:dyDescent="0.25">
      <c r="A7" s="1" t="s">
        <v>11</v>
      </c>
      <c r="B7" s="1">
        <v>109.54</v>
      </c>
      <c r="C7" s="1">
        <v>82.63</v>
      </c>
      <c r="D7" s="1">
        <v>130.59</v>
      </c>
      <c r="E7" s="1">
        <v>55.14</v>
      </c>
      <c r="F7" s="1">
        <v>336.52</v>
      </c>
      <c r="G7" s="1">
        <v>395.74</v>
      </c>
    </row>
    <row r="8" spans="1:7" x14ac:dyDescent="0.25">
      <c r="A8" s="1" t="s">
        <v>12</v>
      </c>
      <c r="B8" s="1">
        <v>10.95</v>
      </c>
      <c r="C8" s="1">
        <v>8.35</v>
      </c>
      <c r="D8" s="1">
        <v>13.19</v>
      </c>
      <c r="E8" s="1">
        <v>5.57</v>
      </c>
      <c r="F8" s="1">
        <v>33.99</v>
      </c>
      <c r="G8" s="1">
        <v>40.380000000000003</v>
      </c>
    </row>
    <row r="9" spans="1:7" x14ac:dyDescent="0.25">
      <c r="A9" s="1" t="s">
        <v>13</v>
      </c>
      <c r="B9" s="1">
        <v>16.29</v>
      </c>
      <c r="C9" s="1">
        <v>-14.2</v>
      </c>
      <c r="D9" s="1">
        <v>20.98</v>
      </c>
      <c r="E9" s="1">
        <v>-7.38</v>
      </c>
      <c r="F9" s="1">
        <v>317.62</v>
      </c>
      <c r="G9" s="1">
        <v>394.92</v>
      </c>
    </row>
    <row r="10" spans="1:7" x14ac:dyDescent="0.25">
      <c r="A10" s="1" t="s">
        <v>14</v>
      </c>
      <c r="B10" s="1">
        <v>1.63</v>
      </c>
      <c r="C10" s="1">
        <v>-1.43</v>
      </c>
      <c r="D10" s="1">
        <v>2.12</v>
      </c>
      <c r="E10" s="1">
        <v>-0.75</v>
      </c>
      <c r="F10" s="1">
        <v>32.08</v>
      </c>
      <c r="G10" s="1">
        <v>40.299999999999997</v>
      </c>
    </row>
    <row r="11" spans="1:7" x14ac:dyDescent="0.25">
      <c r="A11" s="1" t="s">
        <v>15</v>
      </c>
      <c r="B11" s="1">
        <v>2.36</v>
      </c>
      <c r="C11" s="1">
        <v>1.92</v>
      </c>
      <c r="D11" s="1">
        <v>1.28</v>
      </c>
      <c r="E11" s="1">
        <v>1.84</v>
      </c>
      <c r="F11" s="1">
        <v>299.31</v>
      </c>
      <c r="G11" s="1">
        <v>382.02</v>
      </c>
    </row>
    <row r="12" spans="1:7" x14ac:dyDescent="0.25">
      <c r="A12" s="1" t="s">
        <v>16</v>
      </c>
      <c r="B12" s="1">
        <v>271.83</v>
      </c>
      <c r="C12" s="1">
        <v>284.2</v>
      </c>
      <c r="D12" s="1">
        <v>285.41000000000003</v>
      </c>
      <c r="E12" s="1">
        <v>272.83999999999997</v>
      </c>
      <c r="F12" s="1">
        <v>256.82</v>
      </c>
      <c r="G12" s="1">
        <v>242.26</v>
      </c>
    </row>
    <row r="13" spans="1:7" x14ac:dyDescent="0.25">
      <c r="A13" s="1" t="s">
        <v>17</v>
      </c>
      <c r="B13" s="1">
        <v>8.9</v>
      </c>
      <c r="C13" s="1">
        <v>8.86</v>
      </c>
      <c r="D13" s="1">
        <v>9.4700000000000006</v>
      </c>
      <c r="E13" s="1">
        <v>8.42</v>
      </c>
      <c r="F13" s="1">
        <v>14.42</v>
      </c>
      <c r="G13" s="1">
        <v>17.97</v>
      </c>
    </row>
    <row r="14" spans="1:7" x14ac:dyDescent="0.25">
      <c r="A14" s="1" t="s">
        <v>18</v>
      </c>
      <c r="B14" s="1">
        <v>17.690000000000001</v>
      </c>
      <c r="C14" s="1">
        <v>19.850000000000001</v>
      </c>
      <c r="D14" s="1">
        <v>44.44</v>
      </c>
      <c r="E14" s="1">
        <v>11.05</v>
      </c>
      <c r="F14" s="1">
        <v>65.86</v>
      </c>
      <c r="G14" s="1">
        <v>54.57</v>
      </c>
    </row>
    <row r="15" spans="1:7" x14ac:dyDescent="0.25">
      <c r="A15" s="1" t="s">
        <v>19</v>
      </c>
      <c r="B15" s="1">
        <v>1</v>
      </c>
      <c r="C15" s="1">
        <v>1</v>
      </c>
      <c r="D15" s="1">
        <v>2</v>
      </c>
      <c r="E15" s="1">
        <v>1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62.92</v>
      </c>
      <c r="C17" s="1">
        <v>34.21</v>
      </c>
      <c r="D17" s="1">
        <v>75.790000000000006</v>
      </c>
      <c r="E17" s="1">
        <v>23.88</v>
      </c>
      <c r="F17" s="1">
        <v>327.07</v>
      </c>
      <c r="G17" s="1">
        <v>395.33</v>
      </c>
    </row>
    <row r="18" spans="1:7" x14ac:dyDescent="0.25">
      <c r="A18" s="1" t="s">
        <v>22</v>
      </c>
      <c r="B18" s="1">
        <v>46.62</v>
      </c>
      <c r="C18" s="1">
        <v>48.42</v>
      </c>
      <c r="D18" s="1">
        <v>54.8</v>
      </c>
      <c r="E18" s="1">
        <v>31.26</v>
      </c>
      <c r="F18" s="1">
        <v>9.4499999999999993</v>
      </c>
      <c r="G18" s="1">
        <v>0.41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2.2000000000000002</v>
      </c>
      <c r="C20" s="1">
        <v>2.6</v>
      </c>
      <c r="D20" s="1">
        <v>1.1000000000000001</v>
      </c>
      <c r="E20" s="1">
        <v>3.1</v>
      </c>
      <c r="F20" s="1">
        <v>1.3</v>
      </c>
      <c r="G20" s="1">
        <v>0</v>
      </c>
    </row>
    <row r="21" spans="1:7" x14ac:dyDescent="0.25">
      <c r="A21" s="1" t="s">
        <v>25</v>
      </c>
      <c r="B21" s="1">
        <v>7.9</v>
      </c>
      <c r="C21" s="1">
        <v>7.4</v>
      </c>
      <c r="D21" s="1">
        <v>8.9</v>
      </c>
      <c r="E21" s="1">
        <v>6.9</v>
      </c>
      <c r="F21" s="1">
        <v>8.6999999999999993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5.9</v>
      </c>
      <c r="G25" s="1">
        <v>2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4.0999999999999996</v>
      </c>
      <c r="G26" s="1">
        <v>7.9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59.000000000000007</v>
      </c>
      <c r="G30" s="3">
        <f t="shared" si="2"/>
        <v>20.202020202020201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41</v>
      </c>
      <c r="G31" s="3">
        <f t="shared" si="3"/>
        <v>79.797979797979806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0.18</v>
      </c>
      <c r="C33" s="3">
        <v>-0.01</v>
      </c>
      <c r="D33" s="3">
        <v>0.17</v>
      </c>
      <c r="E33" s="3">
        <v>-0.21</v>
      </c>
      <c r="F33" s="3">
        <v>31.14</v>
      </c>
      <c r="G33" s="3">
        <v>40.43</v>
      </c>
    </row>
    <row r="35" spans="1:7" x14ac:dyDescent="0.25">
      <c r="A35" s="3" t="s">
        <v>36</v>
      </c>
      <c r="B35" s="3"/>
      <c r="C35" s="3"/>
      <c r="D35" s="3">
        <f>D33-C33</f>
        <v>0.18000000000000002</v>
      </c>
      <c r="E35" s="3"/>
      <c r="F35" s="3">
        <f>F33-E33</f>
        <v>31.35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-0.38</v>
      </c>
      <c r="F37" s="3"/>
      <c r="G37" s="3">
        <f>G33-F33</f>
        <v>9.2899999999999991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3CFB-A476-49D4-B38B-D66F258C5E94}">
  <dimension ref="A1:G37"/>
  <sheetViews>
    <sheetView zoomScale="80" zoomScaleNormal="80" workbookViewId="0">
      <selection activeCell="J26" sqref="J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508.42</v>
      </c>
      <c r="C2" s="1">
        <v>508.56</v>
      </c>
      <c r="D2" s="1">
        <v>509.16</v>
      </c>
      <c r="E2" s="1">
        <v>508.79</v>
      </c>
      <c r="F2" s="1">
        <v>502.12</v>
      </c>
      <c r="G2" s="1">
        <v>435.06</v>
      </c>
    </row>
    <row r="3" spans="1:7" x14ac:dyDescent="0.25">
      <c r="A3" s="1" t="s">
        <v>7</v>
      </c>
      <c r="B3" s="1">
        <v>49.24</v>
      </c>
      <c r="C3" s="1">
        <v>48.93</v>
      </c>
      <c r="D3" s="1">
        <v>49.01</v>
      </c>
      <c r="E3" s="1">
        <v>48.82</v>
      </c>
      <c r="F3" s="1">
        <v>51.28</v>
      </c>
      <c r="G3" s="1">
        <v>54.61</v>
      </c>
    </row>
    <row r="4" spans="1:7" x14ac:dyDescent="0.25">
      <c r="A4" s="1" t="s">
        <v>8</v>
      </c>
      <c r="B4" s="1">
        <v>25463.65</v>
      </c>
      <c r="C4" s="1">
        <v>25311.59</v>
      </c>
      <c r="D4" s="1">
        <v>25382.47</v>
      </c>
      <c r="E4" s="1">
        <v>25267.23</v>
      </c>
      <c r="F4" s="1">
        <v>26149.68</v>
      </c>
      <c r="G4" s="1">
        <v>24163.88</v>
      </c>
    </row>
    <row r="5" spans="1:7" x14ac:dyDescent="0.25">
      <c r="A5" s="1" t="s">
        <v>9</v>
      </c>
      <c r="B5" s="1">
        <v>130.16</v>
      </c>
      <c r="C5" s="1">
        <v>123.92</v>
      </c>
      <c r="D5" s="1">
        <v>120.05</v>
      </c>
      <c r="E5" s="1">
        <v>127.08</v>
      </c>
      <c r="F5" s="1">
        <v>249.6</v>
      </c>
      <c r="G5" s="1">
        <v>112.16</v>
      </c>
    </row>
    <row r="6" spans="1:7" x14ac:dyDescent="0.25">
      <c r="A6" s="3" t="s">
        <v>10</v>
      </c>
      <c r="B6" s="3">
        <v>13.02</v>
      </c>
      <c r="C6" s="3">
        <v>12.52</v>
      </c>
      <c r="D6" s="3">
        <v>12.13</v>
      </c>
      <c r="E6" s="3">
        <v>12.84</v>
      </c>
      <c r="F6" s="3">
        <v>25.21</v>
      </c>
      <c r="G6" s="3">
        <v>11.44</v>
      </c>
    </row>
    <row r="7" spans="1:7" x14ac:dyDescent="0.25">
      <c r="A7" s="1" t="s">
        <v>11</v>
      </c>
      <c r="B7" s="1">
        <v>126.17</v>
      </c>
      <c r="C7" s="1">
        <v>118.4</v>
      </c>
      <c r="D7" s="1">
        <v>116.04</v>
      </c>
      <c r="E7" s="1">
        <v>123.51</v>
      </c>
      <c r="F7" s="1">
        <v>245.07</v>
      </c>
      <c r="G7" s="1">
        <v>97.45</v>
      </c>
    </row>
    <row r="8" spans="1:7" x14ac:dyDescent="0.25">
      <c r="A8" s="1" t="s">
        <v>12</v>
      </c>
      <c r="B8" s="1">
        <v>12.62</v>
      </c>
      <c r="C8" s="1">
        <v>11.96</v>
      </c>
      <c r="D8" s="1">
        <v>11.72</v>
      </c>
      <c r="E8" s="1">
        <v>12.48</v>
      </c>
      <c r="F8" s="1">
        <v>24.75</v>
      </c>
      <c r="G8" s="1">
        <v>9.94</v>
      </c>
    </row>
    <row r="9" spans="1:7" x14ac:dyDescent="0.25">
      <c r="A9" s="1" t="s">
        <v>13</v>
      </c>
      <c r="B9" s="1">
        <v>-11.71</v>
      </c>
      <c r="C9" s="1">
        <v>9.92</v>
      </c>
      <c r="D9" s="1">
        <v>-11.14</v>
      </c>
      <c r="E9" s="1">
        <v>10.050000000000001</v>
      </c>
      <c r="F9" s="1">
        <v>188.66</v>
      </c>
      <c r="G9" s="1">
        <v>-12.25</v>
      </c>
    </row>
    <row r="10" spans="1:7" x14ac:dyDescent="0.25">
      <c r="A10" s="1" t="s">
        <v>14</v>
      </c>
      <c r="B10" s="1">
        <v>-1.17</v>
      </c>
      <c r="C10" s="1">
        <v>1</v>
      </c>
      <c r="D10" s="1">
        <v>-1.1200000000000001</v>
      </c>
      <c r="E10" s="1">
        <v>1.01</v>
      </c>
      <c r="F10" s="1">
        <v>19.059999999999999</v>
      </c>
      <c r="G10" s="1">
        <v>-1.25</v>
      </c>
    </row>
    <row r="11" spans="1:7" x14ac:dyDescent="0.25">
      <c r="A11" s="1" t="s">
        <v>15</v>
      </c>
      <c r="B11" s="1">
        <v>7.6</v>
      </c>
      <c r="C11" s="1">
        <v>2.29</v>
      </c>
      <c r="D11" s="1">
        <v>2.83</v>
      </c>
      <c r="E11" s="1">
        <v>1.39</v>
      </c>
      <c r="F11" s="1">
        <v>175.75</v>
      </c>
      <c r="G11" s="1">
        <v>3.74</v>
      </c>
    </row>
    <row r="12" spans="1:7" x14ac:dyDescent="0.25">
      <c r="A12" s="1" t="s">
        <v>16</v>
      </c>
      <c r="B12" s="1">
        <v>215.19</v>
      </c>
      <c r="C12" s="1">
        <v>231.26</v>
      </c>
      <c r="D12" s="1">
        <v>234.22</v>
      </c>
      <c r="E12" s="1">
        <v>210.76</v>
      </c>
      <c r="F12" s="1">
        <v>204.24</v>
      </c>
      <c r="G12" s="1">
        <v>154.72999999999999</v>
      </c>
    </row>
    <row r="13" spans="1:7" x14ac:dyDescent="0.25">
      <c r="A13" s="1" t="s">
        <v>17</v>
      </c>
      <c r="B13" s="1">
        <v>1.95</v>
      </c>
      <c r="C13" s="1">
        <v>1.97</v>
      </c>
      <c r="D13" s="1">
        <v>1.85</v>
      </c>
      <c r="E13" s="1">
        <v>1.8</v>
      </c>
      <c r="F13" s="1">
        <v>13.96</v>
      </c>
      <c r="G13" s="1">
        <v>53.57</v>
      </c>
    </row>
    <row r="14" spans="1:7" x14ac:dyDescent="0.25">
      <c r="A14" s="1" t="s">
        <v>18</v>
      </c>
      <c r="B14" s="1">
        <v>4.46</v>
      </c>
      <c r="C14" s="1">
        <v>4.2300000000000004</v>
      </c>
      <c r="D14" s="1">
        <v>4.1900000000000004</v>
      </c>
      <c r="E14" s="1">
        <v>3.83</v>
      </c>
      <c r="F14" s="1">
        <v>60.53</v>
      </c>
      <c r="G14" s="1">
        <v>56.71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57.23</v>
      </c>
      <c r="C17" s="1">
        <v>64.16</v>
      </c>
      <c r="D17" s="1">
        <v>52.45</v>
      </c>
      <c r="E17" s="1">
        <v>66.78</v>
      </c>
      <c r="F17" s="1">
        <v>216.86</v>
      </c>
      <c r="G17" s="1">
        <v>42.6</v>
      </c>
    </row>
    <row r="18" spans="1:7" x14ac:dyDescent="0.25">
      <c r="A18" s="1" t="s">
        <v>22</v>
      </c>
      <c r="B18" s="1">
        <v>68.94</v>
      </c>
      <c r="C18" s="1">
        <v>54.24</v>
      </c>
      <c r="D18" s="1">
        <v>63.59</v>
      </c>
      <c r="E18" s="1">
        <v>56.73</v>
      </c>
      <c r="F18" s="1">
        <v>28.2</v>
      </c>
      <c r="G18" s="1">
        <v>54.85</v>
      </c>
    </row>
    <row r="19" spans="1:7" x14ac:dyDescent="0.25">
      <c r="A19" s="1" t="s">
        <v>23</v>
      </c>
      <c r="B19" s="1">
        <v>3</v>
      </c>
      <c r="C19" s="1">
        <v>2</v>
      </c>
      <c r="D19" s="1">
        <v>3</v>
      </c>
      <c r="E19" s="1">
        <v>1</v>
      </c>
      <c r="F19" s="1">
        <v>2</v>
      </c>
      <c r="G19" s="1">
        <v>2</v>
      </c>
    </row>
    <row r="20" spans="1:7" x14ac:dyDescent="0.25">
      <c r="A20" s="1" t="s">
        <v>24</v>
      </c>
      <c r="B20" s="1">
        <v>3.4</v>
      </c>
      <c r="C20" s="1">
        <v>2.4</v>
      </c>
      <c r="D20" s="1">
        <v>4.0999999999999996</v>
      </c>
      <c r="E20" s="1">
        <v>1.7</v>
      </c>
      <c r="F20" s="1">
        <v>3.8</v>
      </c>
      <c r="G20" s="1">
        <v>2.2999999999999998</v>
      </c>
    </row>
    <row r="21" spans="1:7" x14ac:dyDescent="0.25">
      <c r="A21" s="1" t="s">
        <v>25</v>
      </c>
      <c r="B21" s="1">
        <v>6.7</v>
      </c>
      <c r="C21" s="1">
        <v>7.6</v>
      </c>
      <c r="D21" s="1">
        <v>5.9</v>
      </c>
      <c r="E21" s="1">
        <v>8.3000000000000007</v>
      </c>
      <c r="F21" s="1">
        <v>6.2</v>
      </c>
      <c r="G21" s="1">
        <v>7.6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6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60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-0.63</v>
      </c>
      <c r="C33" s="3">
        <v>-0.35</v>
      </c>
      <c r="D33" s="3">
        <v>-0.31</v>
      </c>
      <c r="E33" s="3">
        <v>0.16</v>
      </c>
      <c r="F33" s="3">
        <v>17.899999999999999</v>
      </c>
      <c r="G33" s="3">
        <v>-0.42</v>
      </c>
    </row>
    <row r="35" spans="1:7" x14ac:dyDescent="0.25">
      <c r="A35" s="3" t="s">
        <v>36</v>
      </c>
      <c r="B35" s="3"/>
      <c r="C35" s="3"/>
      <c r="D35" s="3">
        <f>D33-C33</f>
        <v>3.999999999999998E-2</v>
      </c>
      <c r="E35" s="3"/>
      <c r="F35" s="3">
        <f>F33-E33</f>
        <v>17.739999999999998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0.47</v>
      </c>
      <c r="F37" s="3"/>
      <c r="G37" s="3">
        <f>G33-F33</f>
        <v>-18.32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A80-E828-4DD1-A555-1A8E11908135}">
  <dimension ref="A1:G37"/>
  <sheetViews>
    <sheetView zoomScale="80" zoomScaleNormal="80" workbookViewId="0">
      <selection activeCell="K15" sqref="K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519.76</v>
      </c>
      <c r="C2" s="1">
        <v>520.12</v>
      </c>
      <c r="D2" s="1">
        <v>519.08000000000004</v>
      </c>
      <c r="E2" s="1">
        <v>521.28</v>
      </c>
      <c r="F2" s="1">
        <v>495.92</v>
      </c>
      <c r="G2" s="1">
        <v>479.12</v>
      </c>
    </row>
    <row r="3" spans="1:7" x14ac:dyDescent="0.25">
      <c r="A3" s="1" t="s">
        <v>7</v>
      </c>
      <c r="B3" s="1">
        <v>51.99</v>
      </c>
      <c r="C3" s="1">
        <v>51.79</v>
      </c>
      <c r="D3" s="1">
        <v>51.8</v>
      </c>
      <c r="E3" s="1">
        <v>51.74</v>
      </c>
      <c r="F3" s="1">
        <v>53.19</v>
      </c>
      <c r="G3" s="1">
        <v>55</v>
      </c>
    </row>
    <row r="4" spans="1:7" x14ac:dyDescent="0.25">
      <c r="A4" s="1" t="s">
        <v>8</v>
      </c>
      <c r="B4" s="1">
        <v>27488.17</v>
      </c>
      <c r="C4" s="1">
        <v>27401.18</v>
      </c>
      <c r="D4" s="1">
        <v>27351.5</v>
      </c>
      <c r="E4" s="1">
        <v>27432.69</v>
      </c>
      <c r="F4" s="1">
        <v>26796.05</v>
      </c>
      <c r="G4" s="1">
        <v>26804.35</v>
      </c>
    </row>
    <row r="5" spans="1:7" x14ac:dyDescent="0.25">
      <c r="A5" s="1" t="s">
        <v>9</v>
      </c>
      <c r="B5" s="1">
        <v>53.43</v>
      </c>
      <c r="C5" s="1">
        <v>44.63</v>
      </c>
      <c r="D5" s="1">
        <v>48.87</v>
      </c>
      <c r="E5" s="1">
        <v>54.11</v>
      </c>
      <c r="F5" s="1">
        <v>190.44</v>
      </c>
      <c r="G5" s="1">
        <v>44.86</v>
      </c>
    </row>
    <row r="6" spans="1:7" x14ac:dyDescent="0.25">
      <c r="A6" s="3" t="s">
        <v>10</v>
      </c>
      <c r="B6" s="3">
        <v>5.34</v>
      </c>
      <c r="C6" s="3">
        <v>4.51</v>
      </c>
      <c r="D6" s="3">
        <v>4.9400000000000004</v>
      </c>
      <c r="E6" s="3">
        <v>5.47</v>
      </c>
      <c r="F6" s="3">
        <v>19.239999999999998</v>
      </c>
      <c r="G6" s="3">
        <v>4.58</v>
      </c>
    </row>
    <row r="7" spans="1:7" x14ac:dyDescent="0.25">
      <c r="A7" s="1" t="s">
        <v>11</v>
      </c>
      <c r="B7" s="1">
        <v>42.35</v>
      </c>
      <c r="C7" s="1">
        <v>31.72</v>
      </c>
      <c r="D7" s="1">
        <v>37.25</v>
      </c>
      <c r="E7" s="1">
        <v>45.36</v>
      </c>
      <c r="F7" s="1">
        <v>168.88</v>
      </c>
      <c r="G7" s="1">
        <v>32.880000000000003</v>
      </c>
    </row>
    <row r="8" spans="1:7" x14ac:dyDescent="0.25">
      <c r="A8" s="1" t="s">
        <v>12</v>
      </c>
      <c r="B8" s="1">
        <v>4.24</v>
      </c>
      <c r="C8" s="1">
        <v>3.2</v>
      </c>
      <c r="D8" s="1">
        <v>3.76</v>
      </c>
      <c r="E8" s="1">
        <v>4.58</v>
      </c>
      <c r="F8" s="1">
        <v>17.059999999999999</v>
      </c>
      <c r="G8" s="1">
        <v>3.35</v>
      </c>
    </row>
    <row r="9" spans="1:7" x14ac:dyDescent="0.25">
      <c r="A9" s="1" t="s">
        <v>13</v>
      </c>
      <c r="B9" s="1">
        <v>4.03</v>
      </c>
      <c r="C9" s="1">
        <v>2.84</v>
      </c>
      <c r="D9" s="1">
        <v>-4.16</v>
      </c>
      <c r="E9" s="1">
        <v>4.4000000000000004</v>
      </c>
      <c r="F9" s="1">
        <v>111.38</v>
      </c>
      <c r="G9" s="1">
        <v>-4.3499999999999996</v>
      </c>
    </row>
    <row r="10" spans="1:7" x14ac:dyDescent="0.25">
      <c r="A10" s="1" t="s">
        <v>14</v>
      </c>
      <c r="B10" s="1">
        <v>0.4</v>
      </c>
      <c r="C10" s="1">
        <v>0.28999999999999998</v>
      </c>
      <c r="D10" s="1">
        <v>-0.42</v>
      </c>
      <c r="E10" s="1">
        <v>0.44</v>
      </c>
      <c r="F10" s="1">
        <v>11.25</v>
      </c>
      <c r="G10" s="1">
        <v>-0.44</v>
      </c>
    </row>
    <row r="11" spans="1:7" x14ac:dyDescent="0.25">
      <c r="A11" s="1" t="s">
        <v>15</v>
      </c>
      <c r="B11" s="1">
        <v>0.95</v>
      </c>
      <c r="C11" s="1">
        <v>0.91</v>
      </c>
      <c r="D11" s="1">
        <v>0.52</v>
      </c>
      <c r="E11" s="1">
        <v>3.25</v>
      </c>
      <c r="F11" s="1">
        <v>99.13</v>
      </c>
      <c r="G11" s="1">
        <v>3.06</v>
      </c>
    </row>
    <row r="12" spans="1:7" x14ac:dyDescent="0.25">
      <c r="A12" s="1" t="s">
        <v>16</v>
      </c>
      <c r="B12" s="1">
        <v>286.82</v>
      </c>
      <c r="C12" s="1">
        <v>286.73</v>
      </c>
      <c r="D12" s="1">
        <v>281.47000000000003</v>
      </c>
      <c r="E12" s="1">
        <v>283.87</v>
      </c>
      <c r="F12" s="1">
        <v>225.12</v>
      </c>
      <c r="G12" s="1">
        <v>245.23</v>
      </c>
    </row>
    <row r="13" spans="1:7" x14ac:dyDescent="0.25">
      <c r="A13" s="1" t="s">
        <v>17</v>
      </c>
      <c r="B13" s="1">
        <v>4.0999999999999996</v>
      </c>
      <c r="C13" s="1">
        <v>3.9</v>
      </c>
      <c r="D13" s="1">
        <v>3.58</v>
      </c>
      <c r="E13" s="1">
        <v>3.48</v>
      </c>
      <c r="F13" s="1">
        <v>6.05</v>
      </c>
      <c r="G13" s="1">
        <v>10.55</v>
      </c>
    </row>
    <row r="14" spans="1:7" x14ac:dyDescent="0.25">
      <c r="A14" s="1" t="s">
        <v>18</v>
      </c>
      <c r="B14" s="1">
        <v>10</v>
      </c>
      <c r="C14" s="1">
        <v>9.23</v>
      </c>
      <c r="D14" s="1">
        <v>8.61</v>
      </c>
      <c r="E14" s="1">
        <v>9.15</v>
      </c>
      <c r="F14" s="1">
        <v>17.510000000000002</v>
      </c>
      <c r="G14" s="1">
        <v>13.05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23.19</v>
      </c>
      <c r="C17" s="1">
        <v>17.28</v>
      </c>
      <c r="D17" s="1">
        <v>16.55</v>
      </c>
      <c r="E17" s="1">
        <v>24.88</v>
      </c>
      <c r="F17" s="1">
        <v>140.13</v>
      </c>
      <c r="G17" s="1">
        <v>14.26</v>
      </c>
    </row>
    <row r="18" spans="1:7" x14ac:dyDescent="0.25">
      <c r="A18" s="1" t="s">
        <v>22</v>
      </c>
      <c r="B18" s="1">
        <v>19.16</v>
      </c>
      <c r="C18" s="1">
        <v>14.44</v>
      </c>
      <c r="D18" s="1">
        <v>20.71</v>
      </c>
      <c r="E18" s="1">
        <v>20.48</v>
      </c>
      <c r="F18" s="1">
        <v>28.75</v>
      </c>
      <c r="G18" s="1">
        <v>18.61</v>
      </c>
    </row>
    <row r="19" spans="1:7" x14ac:dyDescent="0.25">
      <c r="A19" s="1" t="s">
        <v>23</v>
      </c>
      <c r="B19" s="1">
        <v>1</v>
      </c>
      <c r="C19" s="1">
        <v>3</v>
      </c>
      <c r="D19" s="1">
        <v>3</v>
      </c>
      <c r="E19" s="1">
        <v>1</v>
      </c>
      <c r="F19" s="1">
        <v>1</v>
      </c>
      <c r="G19" s="1">
        <v>2</v>
      </c>
    </row>
    <row r="20" spans="1:7" x14ac:dyDescent="0.25">
      <c r="A20" s="1" t="s">
        <v>24</v>
      </c>
      <c r="B20" s="1">
        <v>1.7</v>
      </c>
      <c r="C20" s="1">
        <v>4.4000000000000004</v>
      </c>
      <c r="D20" s="1">
        <v>4.4000000000000004</v>
      </c>
      <c r="E20" s="1">
        <v>1</v>
      </c>
      <c r="F20" s="1">
        <v>1.3</v>
      </c>
      <c r="G20" s="1">
        <v>2.4</v>
      </c>
    </row>
    <row r="21" spans="1:7" x14ac:dyDescent="0.25">
      <c r="A21" s="1" t="s">
        <v>25</v>
      </c>
      <c r="B21" s="1">
        <v>8.4</v>
      </c>
      <c r="C21" s="1">
        <v>5.6</v>
      </c>
      <c r="D21" s="1">
        <v>5.6</v>
      </c>
      <c r="E21" s="1">
        <v>9</v>
      </c>
      <c r="F21" s="1">
        <v>8.6999999999999993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8.8000000000000007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1.2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88.000000000000014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12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-0.01</v>
      </c>
      <c r="C33" s="3">
        <v>-0.04</v>
      </c>
      <c r="D33" s="3">
        <v>-0.15</v>
      </c>
      <c r="E33" s="3">
        <v>0.22</v>
      </c>
      <c r="F33" s="3">
        <v>10.99</v>
      </c>
      <c r="G33" s="3">
        <v>-0.24</v>
      </c>
    </row>
    <row r="35" spans="1:7" x14ac:dyDescent="0.25">
      <c r="A35" s="3" t="s">
        <v>36</v>
      </c>
      <c r="B35" s="3"/>
      <c r="C35" s="3"/>
      <c r="D35" s="3">
        <f>D33-C33</f>
        <v>-0.10999999999999999</v>
      </c>
      <c r="E35" s="3"/>
      <c r="F35" s="3">
        <f>F33-E33</f>
        <v>10.77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0.37</v>
      </c>
      <c r="F37" s="3"/>
      <c r="G37" s="3">
        <f>G33-F33</f>
        <v>-11.23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88A2-4927-4168-BC80-29FE93B08465}">
  <dimension ref="A1:G37"/>
  <sheetViews>
    <sheetView zoomScale="80" zoomScaleNormal="80" workbookViewId="0">
      <selection activeCell="N20" sqref="N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447.4</v>
      </c>
      <c r="C2" s="1">
        <v>448.69</v>
      </c>
      <c r="D2" s="1">
        <v>450.14</v>
      </c>
      <c r="E2" s="1">
        <v>449.85</v>
      </c>
      <c r="F2" s="1">
        <v>449.28</v>
      </c>
      <c r="G2" s="1">
        <v>445.13</v>
      </c>
    </row>
    <row r="3" spans="1:7" x14ac:dyDescent="0.25">
      <c r="A3" s="1" t="s">
        <v>7</v>
      </c>
      <c r="B3" s="1">
        <v>46.69</v>
      </c>
      <c r="C3" s="1">
        <v>46.66</v>
      </c>
      <c r="D3" s="1">
        <v>46.62</v>
      </c>
      <c r="E3" s="1">
        <v>46.57</v>
      </c>
      <c r="F3" s="1">
        <v>51.81</v>
      </c>
      <c r="G3" s="1">
        <v>57.1</v>
      </c>
    </row>
    <row r="4" spans="1:7" x14ac:dyDescent="0.25">
      <c r="A4" s="1" t="s">
        <v>8</v>
      </c>
      <c r="B4" s="1">
        <v>21249.39</v>
      </c>
      <c r="C4" s="1">
        <v>21296.82</v>
      </c>
      <c r="D4" s="1">
        <v>21344.99</v>
      </c>
      <c r="E4" s="1">
        <v>21308.95</v>
      </c>
      <c r="F4" s="1">
        <v>23654.080000000002</v>
      </c>
      <c r="G4" s="1">
        <v>25851.17</v>
      </c>
    </row>
    <row r="5" spans="1:7" x14ac:dyDescent="0.25">
      <c r="A5" s="1" t="s">
        <v>9</v>
      </c>
      <c r="B5" s="1">
        <v>90.28</v>
      </c>
      <c r="C5" s="1">
        <v>68.69</v>
      </c>
      <c r="D5" s="1">
        <v>81.650000000000006</v>
      </c>
      <c r="E5" s="1">
        <v>78.98</v>
      </c>
      <c r="F5" s="1">
        <v>476.68</v>
      </c>
      <c r="G5" s="1">
        <v>59.29</v>
      </c>
    </row>
    <row r="6" spans="1:7" x14ac:dyDescent="0.25">
      <c r="A6" s="3" t="s">
        <v>10</v>
      </c>
      <c r="B6" s="3">
        <v>9.0299999999999994</v>
      </c>
      <c r="C6" s="3">
        <v>6.94</v>
      </c>
      <c r="D6" s="3">
        <v>8.25</v>
      </c>
      <c r="E6" s="3">
        <v>7.98</v>
      </c>
      <c r="F6" s="3">
        <v>48.15</v>
      </c>
      <c r="G6" s="3">
        <v>6.05</v>
      </c>
    </row>
    <row r="7" spans="1:7" x14ac:dyDescent="0.25">
      <c r="A7" s="1" t="s">
        <v>11</v>
      </c>
      <c r="B7" s="1">
        <v>82.28</v>
      </c>
      <c r="C7" s="1">
        <v>62.78</v>
      </c>
      <c r="D7" s="1">
        <v>75.23</v>
      </c>
      <c r="E7" s="1">
        <v>73.86</v>
      </c>
      <c r="F7" s="1">
        <v>469.82</v>
      </c>
      <c r="G7" s="1">
        <v>43.15</v>
      </c>
    </row>
    <row r="8" spans="1:7" x14ac:dyDescent="0.25">
      <c r="A8" s="1" t="s">
        <v>12</v>
      </c>
      <c r="B8" s="1">
        <v>8.23</v>
      </c>
      <c r="C8" s="1">
        <v>6.34</v>
      </c>
      <c r="D8" s="1">
        <v>7.6</v>
      </c>
      <c r="E8" s="1">
        <v>7.46</v>
      </c>
      <c r="F8" s="1">
        <v>47.46</v>
      </c>
      <c r="G8" s="1">
        <v>4.4000000000000004</v>
      </c>
    </row>
    <row r="9" spans="1:7" x14ac:dyDescent="0.25">
      <c r="A9" s="1" t="s">
        <v>13</v>
      </c>
      <c r="B9" s="1">
        <v>8.7100000000000009</v>
      </c>
      <c r="C9" s="1">
        <v>-5.0599999999999996</v>
      </c>
      <c r="D9" s="1">
        <v>8.61</v>
      </c>
      <c r="E9" s="1">
        <v>-7.29</v>
      </c>
      <c r="F9" s="1">
        <v>452.75</v>
      </c>
      <c r="G9" s="1">
        <v>9.36</v>
      </c>
    </row>
    <row r="10" spans="1:7" x14ac:dyDescent="0.25">
      <c r="A10" s="1" t="s">
        <v>14</v>
      </c>
      <c r="B10" s="1">
        <v>0.87</v>
      </c>
      <c r="C10" s="1">
        <v>-0.51</v>
      </c>
      <c r="D10" s="1">
        <v>0.87</v>
      </c>
      <c r="E10" s="1">
        <v>-0.74</v>
      </c>
      <c r="F10" s="1">
        <v>45.73</v>
      </c>
      <c r="G10" s="1">
        <v>0.95</v>
      </c>
    </row>
    <row r="11" spans="1:7" x14ac:dyDescent="0.25">
      <c r="A11" s="1" t="s">
        <v>15</v>
      </c>
      <c r="B11" s="1">
        <v>4.45</v>
      </c>
      <c r="C11" s="1">
        <v>1.54</v>
      </c>
      <c r="D11" s="1">
        <v>2.98</v>
      </c>
      <c r="E11" s="1">
        <v>1.31</v>
      </c>
      <c r="F11" s="1">
        <v>353.44</v>
      </c>
      <c r="G11" s="1">
        <v>7.75</v>
      </c>
    </row>
    <row r="12" spans="1:7" x14ac:dyDescent="0.25">
      <c r="A12" s="1" t="s">
        <v>16</v>
      </c>
      <c r="B12" s="1">
        <v>244.29</v>
      </c>
      <c r="C12" s="1">
        <v>240.61</v>
      </c>
      <c r="D12" s="1">
        <v>263.44</v>
      </c>
      <c r="E12" s="1">
        <v>236.96</v>
      </c>
      <c r="F12" s="1">
        <v>248.85</v>
      </c>
      <c r="G12" s="1">
        <v>229.87</v>
      </c>
    </row>
    <row r="13" spans="1:7" x14ac:dyDescent="0.25">
      <c r="A13" s="1" t="s">
        <v>17</v>
      </c>
      <c r="B13" s="1">
        <v>6.84</v>
      </c>
      <c r="C13" s="1">
        <v>6.7</v>
      </c>
      <c r="D13" s="1">
        <v>6.66</v>
      </c>
      <c r="E13" s="1">
        <v>6.46</v>
      </c>
      <c r="F13" s="1">
        <v>28.82</v>
      </c>
      <c r="G13" s="1">
        <v>17.12</v>
      </c>
    </row>
    <row r="14" spans="1:7" x14ac:dyDescent="0.25">
      <c r="A14" s="1" t="s">
        <v>18</v>
      </c>
      <c r="B14" s="1">
        <v>9.07</v>
      </c>
      <c r="C14" s="1">
        <v>8.51</v>
      </c>
      <c r="D14" s="1">
        <v>8.8699999999999992</v>
      </c>
      <c r="E14" s="1">
        <v>8.64</v>
      </c>
      <c r="F14" s="1">
        <v>67.67</v>
      </c>
      <c r="G14" s="1">
        <v>21.01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1</v>
      </c>
      <c r="F15" s="1">
        <v>2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45.49</v>
      </c>
      <c r="C17" s="1">
        <v>28.86</v>
      </c>
      <c r="D17" s="1">
        <v>41.92</v>
      </c>
      <c r="E17" s="1">
        <v>33.29</v>
      </c>
      <c r="F17" s="1">
        <v>461.29</v>
      </c>
      <c r="G17" s="1">
        <v>26.26</v>
      </c>
    </row>
    <row r="18" spans="1:7" x14ac:dyDescent="0.25">
      <c r="A18" s="1" t="s">
        <v>22</v>
      </c>
      <c r="B18" s="1">
        <v>36.79</v>
      </c>
      <c r="C18" s="1">
        <v>33.92</v>
      </c>
      <c r="D18" s="1">
        <v>33.31</v>
      </c>
      <c r="E18" s="1">
        <v>40.57</v>
      </c>
      <c r="F18" s="1">
        <v>8.5399999999999991</v>
      </c>
      <c r="G18" s="1">
        <v>16.899999999999999</v>
      </c>
    </row>
    <row r="19" spans="1:7" x14ac:dyDescent="0.25">
      <c r="A19" s="1" t="s">
        <v>23</v>
      </c>
      <c r="B19" s="1">
        <v>2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</v>
      </c>
      <c r="C20" s="1">
        <v>1.3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8.1</v>
      </c>
      <c r="C21" s="1">
        <v>8.6999999999999993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3.6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6.4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36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64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0.47</v>
      </c>
      <c r="C33" s="3">
        <v>-0.04</v>
      </c>
      <c r="D33" s="3">
        <v>0.26</v>
      </c>
      <c r="E33" s="3">
        <v>0.06</v>
      </c>
      <c r="F33" s="3">
        <v>44.73</v>
      </c>
      <c r="G33" s="3">
        <v>0.7</v>
      </c>
    </row>
    <row r="35" spans="1:7" x14ac:dyDescent="0.25">
      <c r="A35" s="3" t="s">
        <v>36</v>
      </c>
      <c r="B35" s="3"/>
      <c r="C35" s="3"/>
      <c r="D35" s="3">
        <f>D33-C33</f>
        <v>0.3</v>
      </c>
      <c r="E35" s="3"/>
      <c r="F35" s="3">
        <f>F33-E33</f>
        <v>44.669999999999995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-0.2</v>
      </c>
      <c r="F37" s="3"/>
      <c r="G37" s="3">
        <f>G33-F33</f>
        <v>-44.029999999999994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2965-98A2-4ACA-B7CF-B183BCEFF856}">
  <dimension ref="A1:G37"/>
  <sheetViews>
    <sheetView zoomScale="80" zoomScaleNormal="80" workbookViewId="0">
      <selection activeCell="L13" sqref="L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370.34</v>
      </c>
      <c r="C2" s="1">
        <v>353.06</v>
      </c>
      <c r="D2" s="1">
        <v>424.39</v>
      </c>
      <c r="E2" s="1">
        <v>472.78</v>
      </c>
      <c r="F2" s="1">
        <v>419.07</v>
      </c>
      <c r="G2" s="1">
        <v>325.16000000000003</v>
      </c>
    </row>
    <row r="3" spans="1:7" x14ac:dyDescent="0.25">
      <c r="A3" s="1" t="s">
        <v>7</v>
      </c>
      <c r="B3" s="1">
        <v>32.729999999999997</v>
      </c>
      <c r="C3" s="1">
        <v>34.340000000000003</v>
      </c>
      <c r="D3" s="1">
        <v>33.950000000000003</v>
      </c>
      <c r="E3" s="1">
        <v>31.99</v>
      </c>
      <c r="F3" s="1">
        <v>37.6</v>
      </c>
      <c r="G3" s="1">
        <v>31.47</v>
      </c>
    </row>
    <row r="4" spans="1:7" x14ac:dyDescent="0.25">
      <c r="A4" s="1" t="s">
        <v>8</v>
      </c>
      <c r="B4" s="1">
        <v>12319.02</v>
      </c>
      <c r="C4" s="1">
        <v>12286.71</v>
      </c>
      <c r="D4" s="1">
        <v>14611.92</v>
      </c>
      <c r="E4" s="1">
        <v>15380.52</v>
      </c>
      <c r="F4" s="1">
        <v>15947.41</v>
      </c>
      <c r="G4" s="1">
        <v>10360.01</v>
      </c>
    </row>
    <row r="5" spans="1:7" x14ac:dyDescent="0.25">
      <c r="A5" s="1" t="s">
        <v>9</v>
      </c>
      <c r="B5" s="1">
        <v>542.82000000000005</v>
      </c>
      <c r="C5" s="1">
        <v>899.52</v>
      </c>
      <c r="D5" s="1">
        <v>202.14</v>
      </c>
      <c r="E5" s="1">
        <v>106.53</v>
      </c>
      <c r="F5" s="1">
        <v>802.35</v>
      </c>
      <c r="G5" s="1">
        <v>712.58</v>
      </c>
    </row>
    <row r="6" spans="1:7" x14ac:dyDescent="0.25">
      <c r="A6" s="3" t="s">
        <v>10</v>
      </c>
      <c r="B6" s="3">
        <v>54.28</v>
      </c>
      <c r="C6" s="3">
        <v>90.86</v>
      </c>
      <c r="D6" s="3">
        <v>20.420000000000002</v>
      </c>
      <c r="E6" s="3">
        <v>10.76</v>
      </c>
      <c r="F6" s="3">
        <v>81.05</v>
      </c>
      <c r="G6" s="3">
        <v>72.709999999999994</v>
      </c>
    </row>
    <row r="7" spans="1:7" x14ac:dyDescent="0.25">
      <c r="A7" s="1" t="s">
        <v>11</v>
      </c>
      <c r="B7" s="1">
        <v>433.66</v>
      </c>
      <c r="C7" s="1">
        <v>777.58</v>
      </c>
      <c r="D7" s="1">
        <v>197.18</v>
      </c>
      <c r="E7" s="1">
        <v>100.32</v>
      </c>
      <c r="F7" s="1">
        <v>780.55</v>
      </c>
      <c r="G7" s="1">
        <v>699.98</v>
      </c>
    </row>
    <row r="8" spans="1:7" x14ac:dyDescent="0.25">
      <c r="A8" s="1" t="s">
        <v>12</v>
      </c>
      <c r="B8" s="1">
        <v>43.37</v>
      </c>
      <c r="C8" s="1">
        <v>78.540000000000006</v>
      </c>
      <c r="D8" s="1">
        <v>19.920000000000002</v>
      </c>
      <c r="E8" s="1">
        <v>10.130000000000001</v>
      </c>
      <c r="F8" s="1">
        <v>78.84</v>
      </c>
      <c r="G8" s="1">
        <v>71.430000000000007</v>
      </c>
    </row>
    <row r="9" spans="1:7" x14ac:dyDescent="0.25">
      <c r="A9" s="1" t="s">
        <v>13</v>
      </c>
      <c r="B9" s="1">
        <v>215.82</v>
      </c>
      <c r="C9" s="1">
        <v>-426.94</v>
      </c>
      <c r="D9" s="1">
        <v>142.97999999999999</v>
      </c>
      <c r="E9" s="1">
        <v>30.46</v>
      </c>
      <c r="F9" s="1">
        <v>780.27</v>
      </c>
      <c r="G9" s="1">
        <v>699.65</v>
      </c>
    </row>
    <row r="10" spans="1:7" x14ac:dyDescent="0.25">
      <c r="A10" s="1" t="s">
        <v>14</v>
      </c>
      <c r="B10" s="1">
        <v>21.58</v>
      </c>
      <c r="C10" s="1">
        <v>-43.13</v>
      </c>
      <c r="D10" s="1">
        <v>14.44</v>
      </c>
      <c r="E10" s="1">
        <v>3.08</v>
      </c>
      <c r="F10" s="1">
        <v>78.81</v>
      </c>
      <c r="G10" s="1">
        <v>71.39</v>
      </c>
    </row>
    <row r="11" spans="1:7" x14ac:dyDescent="0.25">
      <c r="A11" s="1" t="s">
        <v>15</v>
      </c>
      <c r="B11" s="1">
        <v>188.43</v>
      </c>
      <c r="C11" s="1">
        <v>350.56</v>
      </c>
      <c r="D11" s="1">
        <v>140.4</v>
      </c>
      <c r="E11" s="1">
        <v>2.83</v>
      </c>
      <c r="F11" s="1">
        <v>696.3</v>
      </c>
      <c r="G11" s="1">
        <v>582.14</v>
      </c>
    </row>
    <row r="12" spans="1:7" x14ac:dyDescent="0.25">
      <c r="A12" s="1" t="s">
        <v>16</v>
      </c>
      <c r="B12" s="1">
        <v>205.31</v>
      </c>
      <c r="C12" s="1">
        <v>171.6</v>
      </c>
      <c r="D12" s="1">
        <v>248.03</v>
      </c>
      <c r="E12" s="1">
        <v>226.55</v>
      </c>
      <c r="F12" s="1">
        <v>227.61</v>
      </c>
      <c r="G12" s="1">
        <v>192.68</v>
      </c>
    </row>
    <row r="13" spans="1:7" x14ac:dyDescent="0.25">
      <c r="A13" s="1" t="s">
        <v>17</v>
      </c>
      <c r="B13" s="1">
        <v>33.799999999999997</v>
      </c>
      <c r="C13" s="1">
        <v>36.79</v>
      </c>
      <c r="D13" s="1">
        <v>29.38</v>
      </c>
      <c r="E13" s="1">
        <v>37.79</v>
      </c>
      <c r="F13" s="1">
        <v>27.37</v>
      </c>
      <c r="G13" s="1">
        <v>20.239999999999998</v>
      </c>
    </row>
    <row r="14" spans="1:7" x14ac:dyDescent="0.25">
      <c r="A14" s="1" t="s">
        <v>18</v>
      </c>
      <c r="B14" s="1">
        <v>76.569999999999993</v>
      </c>
      <c r="C14" s="1">
        <v>71.91</v>
      </c>
      <c r="D14" s="1">
        <v>43.85</v>
      </c>
      <c r="E14" s="1">
        <v>40.18</v>
      </c>
      <c r="F14" s="1">
        <v>52.28</v>
      </c>
      <c r="G14" s="1">
        <v>34.700000000000003</v>
      </c>
    </row>
    <row r="15" spans="1:7" x14ac:dyDescent="0.25">
      <c r="A15" s="1" t="s">
        <v>19</v>
      </c>
      <c r="B15" s="1">
        <v>4</v>
      </c>
      <c r="C15" s="1">
        <v>5</v>
      </c>
      <c r="D15" s="1">
        <v>2</v>
      </c>
      <c r="E15" s="1">
        <v>1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324.74</v>
      </c>
      <c r="C17" s="1">
        <v>175.32</v>
      </c>
      <c r="D17" s="1">
        <v>170.08</v>
      </c>
      <c r="E17" s="1">
        <v>65.39</v>
      </c>
      <c r="F17" s="1">
        <v>780.41</v>
      </c>
      <c r="G17" s="1">
        <v>699.81</v>
      </c>
    </row>
    <row r="18" spans="1:7" x14ac:dyDescent="0.25">
      <c r="A18" s="1" t="s">
        <v>22</v>
      </c>
      <c r="B18" s="1">
        <v>108.92</v>
      </c>
      <c r="C18" s="1">
        <v>602.26</v>
      </c>
      <c r="D18" s="1">
        <v>27.1</v>
      </c>
      <c r="E18" s="1">
        <v>34.93</v>
      </c>
      <c r="F18" s="1">
        <v>0.14000000000000001</v>
      </c>
      <c r="G18" s="1">
        <v>0.16</v>
      </c>
    </row>
    <row r="19" spans="1:7" x14ac:dyDescent="0.25">
      <c r="A19" s="1" t="s">
        <v>23</v>
      </c>
      <c r="B19" s="1">
        <v>2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3.9</v>
      </c>
      <c r="C20" s="1">
        <v>4.5999999999999996</v>
      </c>
      <c r="D20" s="1">
        <v>0</v>
      </c>
      <c r="E20" s="1">
        <v>1.2</v>
      </c>
      <c r="F20" s="1">
        <v>0</v>
      </c>
      <c r="G20" s="1">
        <v>0</v>
      </c>
    </row>
    <row r="21" spans="1:7" x14ac:dyDescent="0.25">
      <c r="A21" s="1" t="s">
        <v>25</v>
      </c>
      <c r="B21" s="1">
        <v>6.2</v>
      </c>
      <c r="C21" s="1">
        <v>5.4</v>
      </c>
      <c r="D21" s="1">
        <v>10</v>
      </c>
      <c r="E21" s="1">
        <v>8.8000000000000007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3</v>
      </c>
      <c r="C23" s="1">
        <v>2.9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1.3</v>
      </c>
      <c r="C24" s="1">
        <v>1.4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3.3</v>
      </c>
      <c r="C25" s="1">
        <v>3.5</v>
      </c>
      <c r="D25" s="1">
        <v>8.8000000000000007</v>
      </c>
      <c r="E25" s="1">
        <v>10</v>
      </c>
      <c r="F25" s="1">
        <v>1.3</v>
      </c>
      <c r="G25" s="1">
        <v>0</v>
      </c>
    </row>
    <row r="26" spans="1:7" x14ac:dyDescent="0.25">
      <c r="A26" s="1" t="s">
        <v>30</v>
      </c>
      <c r="B26" s="1">
        <v>5.5</v>
      </c>
      <c r="C26" s="1">
        <v>5.0999999999999996</v>
      </c>
      <c r="D26" s="1">
        <v>1.2</v>
      </c>
      <c r="E26" s="1">
        <v>0</v>
      </c>
      <c r="F26" s="1">
        <v>8.6999999999999993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12.871287128712872</v>
      </c>
      <c r="C29" s="3">
        <f t="shared" ref="C29:G29" si="1">C24/C28*100</f>
        <v>13.999999999999998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32.673267326732677</v>
      </c>
      <c r="C30" s="3">
        <f t="shared" ref="C30:G30" si="2">C25/C28*100</f>
        <v>35</v>
      </c>
      <c r="D30" s="3">
        <f t="shared" si="2"/>
        <v>88.000000000000014</v>
      </c>
      <c r="E30" s="3">
        <f t="shared" si="2"/>
        <v>100</v>
      </c>
      <c r="F30" s="3">
        <f t="shared" si="2"/>
        <v>13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54.455445544554458</v>
      </c>
      <c r="C31" s="3">
        <f t="shared" ref="C31:G31" si="3">C26/C28*100</f>
        <v>51</v>
      </c>
      <c r="D31" s="3">
        <f t="shared" si="3"/>
        <v>12</v>
      </c>
      <c r="E31" s="3">
        <f t="shared" si="3"/>
        <v>0</v>
      </c>
      <c r="F31" s="3">
        <f t="shared" si="3"/>
        <v>86.999999999999986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21.47</v>
      </c>
      <c r="C33" s="3">
        <v>-12.1</v>
      </c>
      <c r="D33" s="3">
        <v>16.72</v>
      </c>
      <c r="E33" s="3">
        <v>0.11</v>
      </c>
      <c r="F33" s="3">
        <v>78.849999999999994</v>
      </c>
      <c r="G33" s="3">
        <v>70.94</v>
      </c>
    </row>
    <row r="35" spans="1:7" x14ac:dyDescent="0.25">
      <c r="A35" s="3" t="s">
        <v>36</v>
      </c>
      <c r="B35" s="3"/>
      <c r="C35" s="3"/>
      <c r="D35" s="3">
        <f>D33-C33</f>
        <v>28.82</v>
      </c>
      <c r="E35" s="3"/>
      <c r="F35" s="3">
        <f>F33-E33</f>
        <v>78.739999999999995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-16.61</v>
      </c>
      <c r="F37" s="3"/>
      <c r="G37" s="3">
        <f>G33-F33</f>
        <v>-7.9099999999999966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6760-7C20-403C-ACD5-BFC6941F3A07}">
  <dimension ref="A1:G37"/>
  <sheetViews>
    <sheetView zoomScale="80" zoomScaleNormal="80" workbookViewId="0">
      <selection activeCell="M15" sqref="M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517.17999999999995</v>
      </c>
      <c r="C2" s="1">
        <v>519.91999999999996</v>
      </c>
      <c r="D2" s="1">
        <v>516.79999999999995</v>
      </c>
      <c r="E2" s="1">
        <v>519.20000000000005</v>
      </c>
      <c r="F2" s="1">
        <v>529.72</v>
      </c>
      <c r="G2" s="1">
        <v>549.22</v>
      </c>
    </row>
    <row r="3" spans="1:7" x14ac:dyDescent="0.25">
      <c r="A3" s="1" t="s">
        <v>7</v>
      </c>
      <c r="B3" s="1">
        <v>89.33</v>
      </c>
      <c r="C3" s="1">
        <v>88.4</v>
      </c>
      <c r="D3" s="1">
        <v>89.02</v>
      </c>
      <c r="E3" s="1">
        <v>86.37</v>
      </c>
      <c r="F3" s="1">
        <v>87.56</v>
      </c>
      <c r="G3" s="1">
        <v>80.39</v>
      </c>
    </row>
    <row r="4" spans="1:7" x14ac:dyDescent="0.25">
      <c r="A4" s="1" t="s">
        <v>8</v>
      </c>
      <c r="B4" s="1">
        <v>46816.69</v>
      </c>
      <c r="C4" s="1">
        <v>46703.89</v>
      </c>
      <c r="D4" s="1">
        <v>46709.599999999999</v>
      </c>
      <c r="E4" s="1">
        <v>45497.14</v>
      </c>
      <c r="F4" s="1">
        <v>47116.2</v>
      </c>
      <c r="G4" s="1">
        <v>44853.66</v>
      </c>
    </row>
    <row r="5" spans="1:7" x14ac:dyDescent="0.25">
      <c r="A5" s="1" t="s">
        <v>9</v>
      </c>
      <c r="B5" s="1">
        <v>360.12</v>
      </c>
      <c r="C5" s="1">
        <v>277.74</v>
      </c>
      <c r="D5" s="1">
        <v>345.68</v>
      </c>
      <c r="E5" s="1">
        <v>284.72000000000003</v>
      </c>
      <c r="F5" s="1">
        <v>299.24</v>
      </c>
      <c r="G5" s="1">
        <v>318.07</v>
      </c>
    </row>
    <row r="6" spans="1:7" x14ac:dyDescent="0.25">
      <c r="A6" s="3" t="s">
        <v>10</v>
      </c>
      <c r="B6" s="3">
        <v>36.01</v>
      </c>
      <c r="C6" s="3">
        <v>28.06</v>
      </c>
      <c r="D6" s="3">
        <v>34.92</v>
      </c>
      <c r="E6" s="3">
        <v>28.76</v>
      </c>
      <c r="F6" s="3">
        <v>30.23</v>
      </c>
      <c r="G6" s="3">
        <v>32.46</v>
      </c>
    </row>
    <row r="7" spans="1:7" x14ac:dyDescent="0.25">
      <c r="A7" s="1" t="s">
        <v>11</v>
      </c>
      <c r="B7" s="1">
        <v>347.21</v>
      </c>
      <c r="C7" s="1">
        <v>259.47000000000003</v>
      </c>
      <c r="D7" s="1">
        <v>331.51</v>
      </c>
      <c r="E7" s="1">
        <v>268.24</v>
      </c>
      <c r="F7" s="1">
        <v>281.33999999999997</v>
      </c>
      <c r="G7" s="1">
        <v>299.42</v>
      </c>
    </row>
    <row r="8" spans="1:7" x14ac:dyDescent="0.25">
      <c r="A8" s="1" t="s">
        <v>12</v>
      </c>
      <c r="B8" s="1">
        <v>34.72</v>
      </c>
      <c r="C8" s="1">
        <v>26.21</v>
      </c>
      <c r="D8" s="1">
        <v>33.49</v>
      </c>
      <c r="E8" s="1">
        <v>27.09</v>
      </c>
      <c r="F8" s="1">
        <v>28.42</v>
      </c>
      <c r="G8" s="1">
        <v>30.55</v>
      </c>
    </row>
    <row r="9" spans="1:7" x14ac:dyDescent="0.25">
      <c r="A9" s="1" t="s">
        <v>13</v>
      </c>
      <c r="B9" s="1">
        <v>-50.66</v>
      </c>
      <c r="C9" s="1">
        <v>26.86</v>
      </c>
      <c r="D9" s="1">
        <v>-29.65</v>
      </c>
      <c r="E9" s="1">
        <v>-25.75</v>
      </c>
      <c r="F9" s="1">
        <v>96.27</v>
      </c>
      <c r="G9" s="1">
        <v>-36.700000000000003</v>
      </c>
    </row>
    <row r="10" spans="1:7" x14ac:dyDescent="0.25">
      <c r="A10" s="1" t="s">
        <v>14</v>
      </c>
      <c r="B10" s="1">
        <v>-5.07</v>
      </c>
      <c r="C10" s="1">
        <v>2.71</v>
      </c>
      <c r="D10" s="1">
        <v>-2.99</v>
      </c>
      <c r="E10" s="1">
        <v>-2.6</v>
      </c>
      <c r="F10" s="1">
        <v>9.7200000000000006</v>
      </c>
      <c r="G10" s="1">
        <v>-3.75</v>
      </c>
    </row>
    <row r="11" spans="1:7" x14ac:dyDescent="0.25">
      <c r="A11" s="1" t="s">
        <v>15</v>
      </c>
      <c r="B11" s="1">
        <v>8.85</v>
      </c>
      <c r="C11" s="1">
        <v>2.73</v>
      </c>
      <c r="D11" s="1">
        <v>2.11</v>
      </c>
      <c r="E11" s="1">
        <v>15.32</v>
      </c>
      <c r="F11" s="1">
        <v>86.04</v>
      </c>
      <c r="G11" s="1">
        <v>8.1</v>
      </c>
    </row>
    <row r="12" spans="1:7" x14ac:dyDescent="0.25">
      <c r="A12" s="1" t="s">
        <v>16</v>
      </c>
      <c r="B12" s="1">
        <v>160.76</v>
      </c>
      <c r="C12" s="1">
        <v>172.55</v>
      </c>
      <c r="D12" s="1">
        <v>163.58000000000001</v>
      </c>
      <c r="E12" s="1">
        <v>181.75</v>
      </c>
      <c r="F12" s="1">
        <v>179.45</v>
      </c>
      <c r="G12" s="1">
        <v>246.85</v>
      </c>
    </row>
    <row r="13" spans="1:7" x14ac:dyDescent="0.25">
      <c r="A13" s="1" t="s">
        <v>17</v>
      </c>
      <c r="B13" s="1">
        <v>12.81</v>
      </c>
      <c r="C13" s="1">
        <v>12.38</v>
      </c>
      <c r="D13" s="1">
        <v>14.11</v>
      </c>
      <c r="E13" s="1">
        <v>12.01</v>
      </c>
      <c r="F13" s="1">
        <v>13.58</v>
      </c>
      <c r="G13" s="1">
        <v>24.18</v>
      </c>
    </row>
    <row r="14" spans="1:7" x14ac:dyDescent="0.25">
      <c r="A14" s="1" t="s">
        <v>18</v>
      </c>
      <c r="B14" s="1">
        <v>41.98</v>
      </c>
      <c r="C14" s="1">
        <v>43.28</v>
      </c>
      <c r="D14" s="1">
        <v>46.77</v>
      </c>
      <c r="E14" s="1">
        <v>41.79</v>
      </c>
      <c r="F14" s="1">
        <v>39.619999999999997</v>
      </c>
      <c r="G14" s="1">
        <v>30.2</v>
      </c>
    </row>
    <row r="15" spans="1:7" x14ac:dyDescent="0.25">
      <c r="A15" s="1" t="s">
        <v>19</v>
      </c>
      <c r="B15" s="1">
        <v>3</v>
      </c>
      <c r="C15" s="1">
        <v>5</v>
      </c>
      <c r="D15" s="1">
        <v>6</v>
      </c>
      <c r="E15" s="1">
        <v>5</v>
      </c>
      <c r="F15" s="1">
        <v>1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148.27000000000001</v>
      </c>
      <c r="C17" s="1">
        <v>143.16999999999999</v>
      </c>
      <c r="D17" s="1">
        <v>150.93</v>
      </c>
      <c r="E17" s="1">
        <v>121.24</v>
      </c>
      <c r="F17" s="1">
        <v>188.8</v>
      </c>
      <c r="G17" s="1">
        <v>131.36000000000001</v>
      </c>
    </row>
    <row r="18" spans="1:7" x14ac:dyDescent="0.25">
      <c r="A18" s="1" t="s">
        <v>22</v>
      </c>
      <c r="B18" s="1">
        <v>198.94</v>
      </c>
      <c r="C18" s="1">
        <v>116.3</v>
      </c>
      <c r="D18" s="1">
        <v>180.58</v>
      </c>
      <c r="E18" s="1">
        <v>147</v>
      </c>
      <c r="F18" s="1">
        <v>92.53</v>
      </c>
      <c r="G18" s="1">
        <v>168.06</v>
      </c>
    </row>
    <row r="19" spans="1:7" x14ac:dyDescent="0.25">
      <c r="A19" s="1" t="s">
        <v>23</v>
      </c>
      <c r="B19" s="1">
        <v>3</v>
      </c>
      <c r="C19" s="1">
        <v>1</v>
      </c>
      <c r="D19" s="1">
        <v>1</v>
      </c>
      <c r="E19" s="1">
        <v>3</v>
      </c>
      <c r="F19" s="1">
        <v>1</v>
      </c>
      <c r="G19" s="1">
        <v>0</v>
      </c>
    </row>
    <row r="20" spans="1:7" x14ac:dyDescent="0.25">
      <c r="A20" s="1" t="s">
        <v>24</v>
      </c>
      <c r="B20" s="1">
        <v>4.3</v>
      </c>
      <c r="C20" s="1">
        <v>1.2</v>
      </c>
      <c r="D20" s="1">
        <v>1.5</v>
      </c>
      <c r="E20" s="1">
        <v>3.9</v>
      </c>
      <c r="F20" s="1">
        <v>1.2</v>
      </c>
      <c r="G20" s="1">
        <v>0</v>
      </c>
    </row>
    <row r="21" spans="1:7" x14ac:dyDescent="0.25">
      <c r="A21" s="1" t="s">
        <v>25</v>
      </c>
      <c r="B21" s="1">
        <v>5.8</v>
      </c>
      <c r="C21" s="1">
        <v>8.8000000000000007</v>
      </c>
      <c r="D21" s="1">
        <v>8.5</v>
      </c>
      <c r="E21" s="1">
        <v>6.1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-0.33</v>
      </c>
      <c r="C33" s="3">
        <v>0.44</v>
      </c>
      <c r="D33" s="3">
        <v>-0.28999999999999998</v>
      </c>
      <c r="E33" s="3">
        <v>-0.8</v>
      </c>
      <c r="F33" s="3">
        <v>8.83</v>
      </c>
      <c r="G33" s="3">
        <v>-0.51</v>
      </c>
    </row>
    <row r="35" spans="1:7" x14ac:dyDescent="0.25">
      <c r="A35" s="3" t="s">
        <v>36</v>
      </c>
      <c r="B35" s="3"/>
      <c r="C35" s="3"/>
      <c r="D35" s="3">
        <f>D33-C33</f>
        <v>-0.73</v>
      </c>
      <c r="E35" s="3"/>
      <c r="F35" s="3">
        <f>F33-E33</f>
        <v>9.6300000000000008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-0.51</v>
      </c>
      <c r="F37" s="3"/>
      <c r="G37" s="3">
        <f>G33-F33</f>
        <v>-9.34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BEBE-1EB2-44F5-A5DC-61F1CA5F5CB1}">
  <dimension ref="A1:G37"/>
  <sheetViews>
    <sheetView zoomScale="80" zoomScaleNormal="80" workbookViewId="0">
      <selection activeCell="I39" sqref="I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409.79</v>
      </c>
      <c r="C2" s="1">
        <v>410.46</v>
      </c>
      <c r="D2" s="1">
        <v>409.93</v>
      </c>
      <c r="E2" s="1">
        <v>410.97</v>
      </c>
      <c r="F2" s="1">
        <v>411.5</v>
      </c>
      <c r="G2" s="1">
        <v>502.2</v>
      </c>
    </row>
    <row r="3" spans="1:7" x14ac:dyDescent="0.25">
      <c r="A3" s="1" t="s">
        <v>7</v>
      </c>
      <c r="B3" s="1">
        <v>47.42</v>
      </c>
      <c r="C3" s="1">
        <v>47.37</v>
      </c>
      <c r="D3" s="1">
        <v>47.35</v>
      </c>
      <c r="E3" s="1">
        <v>46.94</v>
      </c>
      <c r="F3" s="1">
        <v>50.13</v>
      </c>
      <c r="G3" s="1">
        <v>56.25</v>
      </c>
    </row>
    <row r="4" spans="1:7" x14ac:dyDescent="0.25">
      <c r="A4" s="1" t="s">
        <v>8</v>
      </c>
      <c r="B4" s="1">
        <v>19767.84</v>
      </c>
      <c r="C4" s="1">
        <v>19774.46</v>
      </c>
      <c r="D4" s="1">
        <v>19743.34</v>
      </c>
      <c r="E4" s="1">
        <v>19621.86</v>
      </c>
      <c r="F4" s="1">
        <v>21017.5</v>
      </c>
      <c r="G4" s="1">
        <v>28736.91</v>
      </c>
    </row>
    <row r="5" spans="1:7" x14ac:dyDescent="0.25">
      <c r="A5" s="1" t="s">
        <v>9</v>
      </c>
      <c r="B5" s="1">
        <v>83.74</v>
      </c>
      <c r="C5" s="1">
        <v>69.23</v>
      </c>
      <c r="D5" s="1">
        <v>57.03</v>
      </c>
      <c r="E5" s="1">
        <v>61.26</v>
      </c>
      <c r="F5" s="1">
        <v>547.95000000000005</v>
      </c>
      <c r="G5" s="1">
        <v>70.97</v>
      </c>
    </row>
    <row r="6" spans="1:7" x14ac:dyDescent="0.25">
      <c r="A6" s="3" t="s">
        <v>10</v>
      </c>
      <c r="B6" s="3">
        <v>8.3699999999999992</v>
      </c>
      <c r="C6" s="3">
        <v>6.99</v>
      </c>
      <c r="D6" s="3">
        <v>5.76</v>
      </c>
      <c r="E6" s="3">
        <v>6.19</v>
      </c>
      <c r="F6" s="3">
        <v>55.35</v>
      </c>
      <c r="G6" s="3">
        <v>7.24</v>
      </c>
    </row>
    <row r="7" spans="1:7" x14ac:dyDescent="0.25">
      <c r="A7" s="1" t="s">
        <v>11</v>
      </c>
      <c r="B7" s="1">
        <v>71.73</v>
      </c>
      <c r="C7" s="1">
        <v>53.51</v>
      </c>
      <c r="D7" s="1">
        <v>43.53</v>
      </c>
      <c r="E7" s="1">
        <v>46.45</v>
      </c>
      <c r="F7" s="1">
        <v>531.37</v>
      </c>
      <c r="G7" s="1">
        <v>56.16</v>
      </c>
    </row>
    <row r="8" spans="1:7" x14ac:dyDescent="0.25">
      <c r="A8" s="1" t="s">
        <v>12</v>
      </c>
      <c r="B8" s="1">
        <v>7.17</v>
      </c>
      <c r="C8" s="1">
        <v>5.4</v>
      </c>
      <c r="D8" s="1">
        <v>4.4000000000000004</v>
      </c>
      <c r="E8" s="1">
        <v>4.6900000000000004</v>
      </c>
      <c r="F8" s="1">
        <v>53.67</v>
      </c>
      <c r="G8" s="1">
        <v>5.73</v>
      </c>
    </row>
    <row r="9" spans="1:7" x14ac:dyDescent="0.25">
      <c r="A9" s="1" t="s">
        <v>13</v>
      </c>
      <c r="B9" s="1">
        <v>38.01</v>
      </c>
      <c r="C9" s="1">
        <v>-5.09</v>
      </c>
      <c r="D9" s="1">
        <v>3.78</v>
      </c>
      <c r="E9" s="1">
        <v>-4.55</v>
      </c>
      <c r="F9" s="1">
        <v>518.63</v>
      </c>
      <c r="G9" s="1">
        <v>5.89</v>
      </c>
    </row>
    <row r="10" spans="1:7" x14ac:dyDescent="0.25">
      <c r="A10" s="1" t="s">
        <v>14</v>
      </c>
      <c r="B10" s="1">
        <v>3.8</v>
      </c>
      <c r="C10" s="1">
        <v>-0.51</v>
      </c>
      <c r="D10" s="1">
        <v>0.38</v>
      </c>
      <c r="E10" s="1">
        <v>-0.46</v>
      </c>
      <c r="F10" s="1">
        <v>52.39</v>
      </c>
      <c r="G10" s="1">
        <v>0.6</v>
      </c>
    </row>
    <row r="11" spans="1:7" x14ac:dyDescent="0.25">
      <c r="A11" s="1" t="s">
        <v>15</v>
      </c>
      <c r="B11" s="1">
        <v>35.590000000000003</v>
      </c>
      <c r="C11" s="1">
        <v>2.97</v>
      </c>
      <c r="D11" s="1">
        <v>0.72</v>
      </c>
      <c r="E11" s="1">
        <v>2.02</v>
      </c>
      <c r="F11" s="1">
        <v>447.5</v>
      </c>
      <c r="G11" s="1">
        <v>3.31</v>
      </c>
    </row>
    <row r="12" spans="1:7" x14ac:dyDescent="0.25">
      <c r="A12" s="1" t="s">
        <v>16</v>
      </c>
      <c r="B12" s="1">
        <v>201.33</v>
      </c>
      <c r="C12" s="1">
        <v>202.89</v>
      </c>
      <c r="D12" s="1">
        <v>204.51</v>
      </c>
      <c r="E12" s="1">
        <v>205.1</v>
      </c>
      <c r="F12" s="1">
        <v>195.05</v>
      </c>
      <c r="G12" s="1">
        <v>215</v>
      </c>
    </row>
    <row r="13" spans="1:7" x14ac:dyDescent="0.25">
      <c r="A13" s="1" t="s">
        <v>17</v>
      </c>
      <c r="B13" s="1">
        <v>14.45</v>
      </c>
      <c r="C13" s="1">
        <v>13.03</v>
      </c>
      <c r="D13" s="1">
        <v>12.94</v>
      </c>
      <c r="E13" s="1">
        <v>12.99</v>
      </c>
      <c r="F13" s="1">
        <v>22.88</v>
      </c>
      <c r="G13" s="1">
        <v>33.81</v>
      </c>
    </row>
    <row r="14" spans="1:7" x14ac:dyDescent="0.25">
      <c r="A14" s="1" t="s">
        <v>18</v>
      </c>
      <c r="B14" s="1">
        <v>20.059999999999999</v>
      </c>
      <c r="C14" s="1">
        <v>14.67</v>
      </c>
      <c r="D14" s="1">
        <v>14.15</v>
      </c>
      <c r="E14" s="1">
        <v>15.14</v>
      </c>
      <c r="F14" s="1">
        <v>53.64</v>
      </c>
      <c r="G14" s="1">
        <v>43.99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54.87</v>
      </c>
      <c r="C17" s="1">
        <v>24.21</v>
      </c>
      <c r="D17" s="1">
        <v>23.65</v>
      </c>
      <c r="E17" s="1">
        <v>20.95</v>
      </c>
      <c r="F17" s="1">
        <v>525</v>
      </c>
      <c r="G17" s="1">
        <v>31.03</v>
      </c>
    </row>
    <row r="18" spans="1:7" x14ac:dyDescent="0.25">
      <c r="A18" s="1" t="s">
        <v>22</v>
      </c>
      <c r="B18" s="1">
        <v>16.86</v>
      </c>
      <c r="C18" s="1">
        <v>29.3</v>
      </c>
      <c r="D18" s="1">
        <v>19.88</v>
      </c>
      <c r="E18" s="1">
        <v>25.5</v>
      </c>
      <c r="F18" s="1">
        <v>6.37</v>
      </c>
      <c r="G18" s="1">
        <v>25.14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1</v>
      </c>
      <c r="F19" s="1">
        <v>0</v>
      </c>
      <c r="G19" s="1">
        <v>2</v>
      </c>
    </row>
    <row r="20" spans="1:7" x14ac:dyDescent="0.25">
      <c r="A20" s="1" t="s">
        <v>24</v>
      </c>
      <c r="B20" s="1">
        <v>0</v>
      </c>
      <c r="C20" s="1">
        <v>2.2000000000000002</v>
      </c>
      <c r="D20" s="1">
        <v>1.3</v>
      </c>
      <c r="E20" s="1">
        <v>2.2000000000000002</v>
      </c>
      <c r="F20" s="1">
        <v>0</v>
      </c>
      <c r="G20" s="1">
        <v>2.9</v>
      </c>
    </row>
    <row r="21" spans="1:7" x14ac:dyDescent="0.25">
      <c r="A21" s="1" t="s">
        <v>25</v>
      </c>
      <c r="B21" s="1">
        <v>10.1</v>
      </c>
      <c r="C21" s="1">
        <v>7.8</v>
      </c>
      <c r="D21" s="1">
        <v>8.6999999999999993</v>
      </c>
      <c r="E21" s="1">
        <v>7.8</v>
      </c>
      <c r="F21" s="1">
        <v>10</v>
      </c>
      <c r="G21" s="1">
        <v>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2.9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7.1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28.999999999999996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71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3.8</v>
      </c>
      <c r="C33" s="3">
        <v>-0.26</v>
      </c>
      <c r="D33" s="3">
        <v>0.21</v>
      </c>
      <c r="E33" s="3">
        <v>-0.15</v>
      </c>
      <c r="F33" s="3">
        <v>52.93</v>
      </c>
      <c r="G33" s="3">
        <v>0.09</v>
      </c>
    </row>
    <row r="35" spans="1:7" x14ac:dyDescent="0.25">
      <c r="A35" s="3" t="s">
        <v>36</v>
      </c>
      <c r="B35" s="3"/>
      <c r="C35" s="3"/>
      <c r="D35" s="3">
        <f>D33-C33</f>
        <v>0.47</v>
      </c>
      <c r="E35" s="3"/>
      <c r="F35" s="3">
        <f>F33-E33</f>
        <v>53.08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-0.36</v>
      </c>
      <c r="F37" s="3"/>
      <c r="G37" s="3">
        <f>G33-F33</f>
        <v>-52.839999999999996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DD8F-D365-4B36-A830-7DD938030C47}">
  <dimension ref="A1:G37"/>
  <sheetViews>
    <sheetView tabSelected="1" zoomScale="80" zoomScaleNormal="80" workbookViewId="0">
      <selection activeCell="J29" sqref="J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423.54</v>
      </c>
      <c r="C2" s="1">
        <v>438.91</v>
      </c>
      <c r="D2" s="1">
        <v>441.33</v>
      </c>
      <c r="E2" s="1">
        <v>441.52</v>
      </c>
      <c r="F2" s="1">
        <v>419.28</v>
      </c>
      <c r="G2" s="1">
        <v>460.84</v>
      </c>
    </row>
    <row r="3" spans="1:7" x14ac:dyDescent="0.25">
      <c r="A3" s="1" t="s">
        <v>7</v>
      </c>
      <c r="B3" s="1">
        <v>42.9</v>
      </c>
      <c r="C3" s="1">
        <v>42.12</v>
      </c>
      <c r="D3" s="1">
        <v>41.92</v>
      </c>
      <c r="E3" s="1">
        <v>41.99</v>
      </c>
      <c r="F3" s="1">
        <v>42.5</v>
      </c>
      <c r="G3" s="1">
        <v>44.3</v>
      </c>
    </row>
    <row r="4" spans="1:7" x14ac:dyDescent="0.25">
      <c r="A4" s="1" t="s">
        <v>8</v>
      </c>
      <c r="B4" s="1">
        <v>18446.650000000001</v>
      </c>
      <c r="C4" s="1">
        <v>18805.02</v>
      </c>
      <c r="D4" s="1">
        <v>18820.82</v>
      </c>
      <c r="E4" s="1">
        <v>18856.849999999999</v>
      </c>
      <c r="F4" s="1">
        <v>18104.29</v>
      </c>
      <c r="G4" s="1">
        <v>20764.689999999999</v>
      </c>
    </row>
    <row r="5" spans="1:7" x14ac:dyDescent="0.25">
      <c r="A5" s="1" t="s">
        <v>9</v>
      </c>
      <c r="B5" s="1">
        <v>265.07</v>
      </c>
      <c r="C5" s="1">
        <v>71.31</v>
      </c>
      <c r="D5" s="1">
        <v>79.84</v>
      </c>
      <c r="E5" s="1">
        <v>84.57</v>
      </c>
      <c r="F5" s="1">
        <v>419.45</v>
      </c>
      <c r="G5" s="1">
        <v>67.91</v>
      </c>
    </row>
    <row r="6" spans="1:7" x14ac:dyDescent="0.25">
      <c r="A6" s="3" t="s">
        <v>10</v>
      </c>
      <c r="B6" s="3">
        <v>26.51</v>
      </c>
      <c r="C6" s="3">
        <v>7.2</v>
      </c>
      <c r="D6" s="3">
        <v>8.06</v>
      </c>
      <c r="E6" s="3">
        <v>8.5399999999999991</v>
      </c>
      <c r="F6" s="3">
        <v>42.37</v>
      </c>
      <c r="G6" s="3">
        <v>6.93</v>
      </c>
    </row>
    <row r="7" spans="1:7" x14ac:dyDescent="0.25">
      <c r="A7" s="1" t="s">
        <v>11</v>
      </c>
      <c r="B7" s="1">
        <v>257.25</v>
      </c>
      <c r="C7" s="1">
        <v>64.73</v>
      </c>
      <c r="D7" s="1">
        <v>74.11</v>
      </c>
      <c r="E7" s="1">
        <v>75.56</v>
      </c>
      <c r="F7" s="1">
        <v>410.37</v>
      </c>
      <c r="G7" s="1">
        <v>58.41</v>
      </c>
    </row>
    <row r="8" spans="1:7" x14ac:dyDescent="0.25">
      <c r="A8" s="1" t="s">
        <v>12</v>
      </c>
      <c r="B8" s="1">
        <v>25.72</v>
      </c>
      <c r="C8" s="1">
        <v>6.54</v>
      </c>
      <c r="D8" s="1">
        <v>7.49</v>
      </c>
      <c r="E8" s="1">
        <v>7.63</v>
      </c>
      <c r="F8" s="1">
        <v>41.45</v>
      </c>
      <c r="G8" s="1">
        <v>5.96</v>
      </c>
    </row>
    <row r="9" spans="1:7" x14ac:dyDescent="0.25">
      <c r="A9" s="1" t="s">
        <v>13</v>
      </c>
      <c r="B9" s="1">
        <v>223.56</v>
      </c>
      <c r="C9" s="1">
        <v>6.43</v>
      </c>
      <c r="D9" s="1">
        <v>7.88</v>
      </c>
      <c r="E9" s="1">
        <v>6.83</v>
      </c>
      <c r="F9" s="1">
        <v>405.76</v>
      </c>
      <c r="G9" s="1">
        <v>4.5999999999999996</v>
      </c>
    </row>
    <row r="10" spans="1:7" x14ac:dyDescent="0.25">
      <c r="A10" s="1" t="s">
        <v>14</v>
      </c>
      <c r="B10" s="1">
        <v>22.36</v>
      </c>
      <c r="C10" s="1">
        <v>0.65</v>
      </c>
      <c r="D10" s="1">
        <v>0.8</v>
      </c>
      <c r="E10" s="1">
        <v>0.69</v>
      </c>
      <c r="F10" s="1">
        <v>40.99</v>
      </c>
      <c r="G10" s="1">
        <v>0.47</v>
      </c>
    </row>
    <row r="11" spans="1:7" x14ac:dyDescent="0.25">
      <c r="A11" s="1" t="s">
        <v>15</v>
      </c>
      <c r="B11" s="1">
        <v>217.11</v>
      </c>
      <c r="C11" s="1">
        <v>3.99</v>
      </c>
      <c r="D11" s="1">
        <v>4.76</v>
      </c>
      <c r="E11" s="1">
        <v>2.4900000000000002</v>
      </c>
      <c r="F11" s="1">
        <v>378.6</v>
      </c>
      <c r="G11" s="1">
        <v>2.4</v>
      </c>
    </row>
    <row r="12" spans="1:7" x14ac:dyDescent="0.25">
      <c r="A12" s="1" t="s">
        <v>16</v>
      </c>
      <c r="B12" s="1">
        <v>239.75</v>
      </c>
      <c r="C12" s="1">
        <v>232.26</v>
      </c>
      <c r="D12" s="1">
        <v>238.94</v>
      </c>
      <c r="E12" s="1">
        <v>247.2</v>
      </c>
      <c r="F12" s="1">
        <v>214.08</v>
      </c>
      <c r="G12" s="1">
        <v>255</v>
      </c>
    </row>
    <row r="13" spans="1:7" x14ac:dyDescent="0.25">
      <c r="A13" s="1" t="s">
        <v>17</v>
      </c>
      <c r="B13" s="1">
        <v>10.39</v>
      </c>
      <c r="C13" s="1">
        <v>13.38</v>
      </c>
      <c r="D13" s="1">
        <v>14.39</v>
      </c>
      <c r="E13" s="1">
        <v>13.95</v>
      </c>
      <c r="F13" s="1">
        <v>23.17</v>
      </c>
      <c r="G13" s="1">
        <v>43.18</v>
      </c>
    </row>
    <row r="14" spans="1:7" x14ac:dyDescent="0.25">
      <c r="A14" s="1" t="s">
        <v>18</v>
      </c>
      <c r="B14" s="1">
        <v>24.58</v>
      </c>
      <c r="C14" s="1">
        <v>17.88</v>
      </c>
      <c r="D14" s="1">
        <v>17.57</v>
      </c>
      <c r="E14" s="1">
        <v>18.41</v>
      </c>
      <c r="F14" s="1">
        <v>58.27</v>
      </c>
      <c r="G14" s="1">
        <v>46.27</v>
      </c>
    </row>
    <row r="15" spans="1:7" x14ac:dyDescent="0.25">
      <c r="A15" s="1" t="s">
        <v>19</v>
      </c>
      <c r="B15" s="1">
        <v>1</v>
      </c>
      <c r="C15" s="1">
        <v>0</v>
      </c>
      <c r="D15" s="1">
        <v>0</v>
      </c>
      <c r="E15" s="1">
        <v>0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240.41</v>
      </c>
      <c r="C17" s="1">
        <v>35.58</v>
      </c>
      <c r="D17" s="1">
        <v>40.99</v>
      </c>
      <c r="E17" s="1">
        <v>41.19</v>
      </c>
      <c r="F17" s="1">
        <v>408.06</v>
      </c>
      <c r="G17" s="1">
        <v>31.51</v>
      </c>
    </row>
    <row r="18" spans="1:7" x14ac:dyDescent="0.25">
      <c r="A18" s="1" t="s">
        <v>22</v>
      </c>
      <c r="B18" s="1">
        <v>16.84</v>
      </c>
      <c r="C18" s="1">
        <v>29.15</v>
      </c>
      <c r="D18" s="1">
        <v>33.11</v>
      </c>
      <c r="E18" s="1">
        <v>34.36</v>
      </c>
      <c r="F18" s="1">
        <v>2.2999999999999998</v>
      </c>
      <c r="G18" s="1">
        <v>26.9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0</v>
      </c>
      <c r="G19" s="1">
        <v>4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3.3</v>
      </c>
      <c r="F20" s="1">
        <v>0</v>
      </c>
      <c r="G20" s="1">
        <v>4.3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6.7</v>
      </c>
      <c r="F21" s="1">
        <v>10</v>
      </c>
      <c r="G21" s="1">
        <v>5.6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5.7</v>
      </c>
      <c r="C25" s="1">
        <v>10</v>
      </c>
      <c r="D25" s="1">
        <v>10</v>
      </c>
      <c r="E25" s="1">
        <v>10</v>
      </c>
      <c r="F25" s="1">
        <v>4.8</v>
      </c>
      <c r="G25" s="1">
        <v>9.9</v>
      </c>
    </row>
    <row r="26" spans="1:7" x14ac:dyDescent="0.25">
      <c r="A26" s="1" t="s">
        <v>30</v>
      </c>
      <c r="B26" s="1">
        <v>4.4000000000000004</v>
      </c>
      <c r="C26" s="1">
        <v>0</v>
      </c>
      <c r="D26" s="1">
        <v>0</v>
      </c>
      <c r="E26" s="1">
        <v>0</v>
      </c>
      <c r="F26" s="1">
        <v>5.2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56.435643564356432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48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43.564356435643568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52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22.24</v>
      </c>
      <c r="C33" s="3">
        <v>0.24</v>
      </c>
      <c r="D33" s="3">
        <v>7.0000000000000007E-2</v>
      </c>
      <c r="E33" s="3">
        <v>-0.1</v>
      </c>
      <c r="F33" s="3">
        <v>40.58</v>
      </c>
      <c r="G33" s="3">
        <v>-0.08</v>
      </c>
    </row>
    <row r="35" spans="1:7" x14ac:dyDescent="0.25">
      <c r="A35" s="3" t="s">
        <v>36</v>
      </c>
      <c r="B35" s="3"/>
      <c r="C35" s="3"/>
      <c r="D35" s="3">
        <f>D33-C33</f>
        <v>-0.16999999999999998</v>
      </c>
      <c r="E35" s="3"/>
      <c r="F35" s="3">
        <f>F33-E33</f>
        <v>40.68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-0.17</v>
      </c>
      <c r="F37" s="3"/>
      <c r="G37" s="3">
        <f>G33-F33</f>
        <v>-40.659999999999997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D754-F423-4E57-B9B5-F70681D4423B}">
  <dimension ref="A1:G37"/>
  <sheetViews>
    <sheetView zoomScale="80" zoomScaleNormal="80" workbookViewId="0">
      <selection activeCell="N9" sqref="N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241008B001.1</vt:lpstr>
      <vt:lpstr>241008B001.2</vt:lpstr>
      <vt:lpstr>241008B001.3</vt:lpstr>
      <vt:lpstr>241008B001.4</vt:lpstr>
      <vt:lpstr>241008B002.1</vt:lpstr>
      <vt:lpstr>241008B002.3</vt:lpstr>
      <vt:lpstr>241008B002.4</vt:lpstr>
      <vt:lpstr>241008B003.3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2024-10-18T19:53:31Z</dcterms:created>
  <dcterms:modified xsi:type="dcterms:W3CDTF">2024-10-18T21:32:50Z</dcterms:modified>
</cp:coreProperties>
</file>